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ngk\Downloads\"/>
    </mc:Choice>
  </mc:AlternateContent>
  <xr:revisionPtr revIDLastSave="0" documentId="8_{D970CEFE-6CF5-413E-B795-1D7A2441E29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INANCIALS&gt;" sheetId="7" r:id="rId1"/>
    <sheet name="HISTORIACLFINANCIALS" sheetId="8" r:id="rId2"/>
    <sheet name="RATIO ANALYSIS" sheetId="12" r:id="rId3"/>
    <sheet name="FORECASTING" sheetId="11" r:id="rId4"/>
    <sheet name="WACC" sheetId="13" r:id="rId5"/>
    <sheet name="Beta_Comp" sheetId="14" r:id="rId6"/>
    <sheet name="REGRESSION" sheetId="15" r:id="rId7"/>
    <sheet name="Market Return" sheetId="16" r:id="rId8"/>
    <sheet name="Instrinsic Growth" sheetId="17" r:id="rId9"/>
    <sheet name="DCF" sheetId="20" r:id="rId10"/>
    <sheet name="Data_Room&gt;" sheetId="18" r:id="rId11"/>
    <sheet name="Data Sheet" sheetId="6" r:id="rId12"/>
    <sheet name="DATA" sheetId="9" r:id="rId13"/>
    <sheet name="RAW-FS" sheetId="19" r:id="rId14"/>
  </sheets>
  <definedNames>
    <definedName name="_xlnm._FilterDatabase" localSheetId="6" hidden="1">REGRESSION!#REF!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0" i="17" l="1"/>
  <c r="C6" i="11"/>
  <c r="C43" i="8"/>
  <c r="F7" i="20"/>
  <c r="C42" i="20"/>
  <c r="C36" i="20"/>
  <c r="C37" i="20" s="1"/>
  <c r="C39" i="20" s="1"/>
  <c r="C38" i="20"/>
  <c r="C35" i="20"/>
  <c r="C33" i="20"/>
  <c r="C32" i="20"/>
  <c r="C31" i="20"/>
  <c r="C25" i="20"/>
  <c r="C24" i="20"/>
  <c r="H12" i="20"/>
  <c r="I12" i="20"/>
  <c r="J12" i="20"/>
  <c r="K12" i="20"/>
  <c r="G12" i="20"/>
  <c r="I11" i="20"/>
  <c r="J11" i="20"/>
  <c r="K11" i="20"/>
  <c r="H11" i="20"/>
  <c r="C19" i="20"/>
  <c r="F5" i="20"/>
  <c r="F3" i="20"/>
  <c r="G3" i="20" s="1"/>
  <c r="H3" i="20" s="1"/>
  <c r="I3" i="20" s="1"/>
  <c r="J3" i="20" s="1"/>
  <c r="K3" i="20" s="1"/>
  <c r="H58" i="17"/>
  <c r="I58" i="17"/>
  <c r="J58" i="17"/>
  <c r="K58" i="17"/>
  <c r="G58" i="17"/>
  <c r="B57" i="17"/>
  <c r="I55" i="17"/>
  <c r="J55" i="17"/>
  <c r="K55" i="17"/>
  <c r="H55" i="17"/>
  <c r="G55" i="17"/>
  <c r="I48" i="17"/>
  <c r="J48" i="17"/>
  <c r="K48" i="17"/>
  <c r="H48" i="17"/>
  <c r="H46" i="17"/>
  <c r="I46" i="17"/>
  <c r="I50" i="17" s="1"/>
  <c r="I57" i="17" s="1"/>
  <c r="I60" i="17" s="1"/>
  <c r="J46" i="17"/>
  <c r="J50" i="17" s="1"/>
  <c r="J57" i="17" s="1"/>
  <c r="J60" i="17" s="1"/>
  <c r="K46" i="17"/>
  <c r="K50" i="17" s="1"/>
  <c r="K57" i="17" s="1"/>
  <c r="K60" i="17" s="1"/>
  <c r="G46" i="17"/>
  <c r="H44" i="17"/>
  <c r="I44" i="17"/>
  <c r="J44" i="17"/>
  <c r="K44" i="17"/>
  <c r="G44" i="17"/>
  <c r="I42" i="17"/>
  <c r="J42" i="17"/>
  <c r="K42" i="17"/>
  <c r="H42" i="17"/>
  <c r="H41" i="17"/>
  <c r="I41" i="17"/>
  <c r="J41" i="17"/>
  <c r="K41" i="17"/>
  <c r="G41" i="17"/>
  <c r="J39" i="17"/>
  <c r="K39" i="17"/>
  <c r="H39" i="17"/>
  <c r="I39" i="17"/>
  <c r="G39" i="17"/>
  <c r="G2" i="17"/>
  <c r="H36" i="17"/>
  <c r="I36" i="17"/>
  <c r="J36" i="17"/>
  <c r="K36" i="17"/>
  <c r="G36" i="17"/>
  <c r="H34" i="17"/>
  <c r="I34" i="17"/>
  <c r="J34" i="17"/>
  <c r="K34" i="17"/>
  <c r="G34" i="17"/>
  <c r="H33" i="17"/>
  <c r="I33" i="17"/>
  <c r="J33" i="17"/>
  <c r="K33" i="17"/>
  <c r="G33" i="17"/>
  <c r="H30" i="17"/>
  <c r="I30" i="17"/>
  <c r="J30" i="17"/>
  <c r="K30" i="17"/>
  <c r="G30" i="17"/>
  <c r="G28" i="17"/>
  <c r="H28" i="17"/>
  <c r="I28" i="17"/>
  <c r="J28" i="17"/>
  <c r="K28" i="17"/>
  <c r="G21" i="17"/>
  <c r="H21" i="17"/>
  <c r="I21" i="17"/>
  <c r="J21" i="17"/>
  <c r="K21" i="17"/>
  <c r="G22" i="17"/>
  <c r="H22" i="17"/>
  <c r="I22" i="17"/>
  <c r="J22" i="17"/>
  <c r="K22" i="17"/>
  <c r="G23" i="17"/>
  <c r="H23" i="17"/>
  <c r="I23" i="17"/>
  <c r="J23" i="17"/>
  <c r="K23" i="17"/>
  <c r="G24" i="17"/>
  <c r="H24" i="17"/>
  <c r="H29" i="17" s="1"/>
  <c r="H31" i="17" s="1"/>
  <c r="I24" i="17"/>
  <c r="I29" i="17" s="1"/>
  <c r="I31" i="17" s="1"/>
  <c r="J24" i="17"/>
  <c r="K24" i="17"/>
  <c r="G25" i="17"/>
  <c r="H25" i="17"/>
  <c r="I25" i="17"/>
  <c r="J25" i="17"/>
  <c r="K25" i="17"/>
  <c r="G26" i="17"/>
  <c r="H26" i="17"/>
  <c r="I26" i="17"/>
  <c r="J26" i="17"/>
  <c r="J29" i="17" s="1"/>
  <c r="J31" i="17" s="1"/>
  <c r="K26" i="17"/>
  <c r="K29" i="17" s="1"/>
  <c r="K31" i="17" s="1"/>
  <c r="G27" i="17"/>
  <c r="H27" i="17"/>
  <c r="I27" i="17"/>
  <c r="J27" i="17"/>
  <c r="K27" i="17"/>
  <c r="H20" i="17"/>
  <c r="I20" i="17"/>
  <c r="J20" i="17"/>
  <c r="K20" i="17"/>
  <c r="G20" i="17"/>
  <c r="G29" i="17" s="1"/>
  <c r="G31" i="17" s="1"/>
  <c r="B27" i="17"/>
  <c r="B28" i="17"/>
  <c r="B21" i="17"/>
  <c r="B22" i="17"/>
  <c r="B23" i="17"/>
  <c r="B24" i="17"/>
  <c r="B25" i="17"/>
  <c r="B26" i="17"/>
  <c r="B20" i="17"/>
  <c r="H12" i="17"/>
  <c r="H15" i="17" s="1"/>
  <c r="I12" i="17"/>
  <c r="I15" i="17" s="1"/>
  <c r="J12" i="17"/>
  <c r="J15" i="17" s="1"/>
  <c r="K12" i="17"/>
  <c r="K15" i="17" s="1"/>
  <c r="H13" i="17"/>
  <c r="I13" i="17"/>
  <c r="J13" i="17"/>
  <c r="K13" i="17"/>
  <c r="H14" i="17"/>
  <c r="I14" i="17"/>
  <c r="J14" i="17"/>
  <c r="K14" i="17"/>
  <c r="G13" i="17"/>
  <c r="G14" i="17"/>
  <c r="G12" i="17"/>
  <c r="G15" i="17" s="1"/>
  <c r="B13" i="17"/>
  <c r="B14" i="17"/>
  <c r="B12" i="17"/>
  <c r="K9" i="17"/>
  <c r="K17" i="17" s="1"/>
  <c r="G5" i="17"/>
  <c r="G9" i="17" s="1"/>
  <c r="G17" i="17" s="1"/>
  <c r="H7" i="17"/>
  <c r="I7" i="17"/>
  <c r="J7" i="17"/>
  <c r="K7" i="17"/>
  <c r="H8" i="17"/>
  <c r="I8" i="17"/>
  <c r="J8" i="17"/>
  <c r="K8" i="17"/>
  <c r="G8" i="17"/>
  <c r="G7" i="17"/>
  <c r="H5" i="17"/>
  <c r="H9" i="17" s="1"/>
  <c r="I5" i="17"/>
  <c r="I9" i="17" s="1"/>
  <c r="I17" i="17" s="1"/>
  <c r="J5" i="17"/>
  <c r="J9" i="17" s="1"/>
  <c r="J17" i="17" s="1"/>
  <c r="K5" i="17"/>
  <c r="H6" i="17"/>
  <c r="I6" i="17"/>
  <c r="J6" i="17"/>
  <c r="K6" i="17"/>
  <c r="G6" i="17"/>
  <c r="B6" i="17"/>
  <c r="B7" i="17"/>
  <c r="B8" i="17"/>
  <c r="B5" i="17"/>
  <c r="K2" i="17"/>
  <c r="J2" i="17"/>
  <c r="I2" i="17"/>
  <c r="H2" i="17"/>
  <c r="J45" i="13"/>
  <c r="J43" i="13"/>
  <c r="J42" i="13"/>
  <c r="J40" i="13"/>
  <c r="J39" i="13"/>
  <c r="J26" i="13"/>
  <c r="J25" i="13"/>
  <c r="J24" i="13"/>
  <c r="G5" i="16"/>
  <c r="G3" i="16"/>
  <c r="J34" i="13"/>
  <c r="J33" i="13"/>
  <c r="J32" i="13"/>
  <c r="E36" i="13"/>
  <c r="D36" i="13"/>
  <c r="J31" i="13"/>
  <c r="E33" i="13"/>
  <c r="E32" i="13"/>
  <c r="D34" i="13"/>
  <c r="D33" i="13"/>
  <c r="D32" i="13"/>
  <c r="C34" i="13"/>
  <c r="C33" i="13"/>
  <c r="C32" i="13"/>
  <c r="H57" i="17" l="1"/>
  <c r="H60" i="17" s="1"/>
  <c r="K53" i="17"/>
  <c r="K52" i="17"/>
  <c r="H17" i="17"/>
  <c r="F10" i="20" l="1"/>
  <c r="K62" i="17"/>
  <c r="K63" i="17"/>
  <c r="C17" i="20" s="1"/>
  <c r="G5" i="20" s="1"/>
  <c r="G7" i="20" s="1"/>
  <c r="G10" i="20" l="1"/>
  <c r="G14" i="20" s="1"/>
  <c r="H5" i="20"/>
  <c r="I5" i="20" s="1"/>
  <c r="H7" i="20" l="1"/>
  <c r="H10" i="20" s="1"/>
  <c r="H14" i="20" s="1"/>
  <c r="J5" i="20"/>
  <c r="I7" i="20"/>
  <c r="I10" i="20" s="1"/>
  <c r="I14" i="20" s="1"/>
  <c r="K5" i="20" l="1"/>
  <c r="K7" i="20" s="1"/>
  <c r="K10" i="20" s="1"/>
  <c r="J7" i="20"/>
  <c r="J10" i="20" s="1"/>
  <c r="J14" i="20" s="1"/>
  <c r="C23" i="20" l="1"/>
  <c r="C27" i="20" s="1"/>
  <c r="K14" i="20"/>
  <c r="C25" i="13" l="1"/>
  <c r="C24" i="13"/>
  <c r="M18" i="13" l="1"/>
  <c r="L18" i="13"/>
  <c r="K18" i="13"/>
  <c r="J18" i="13"/>
  <c r="M17" i="13"/>
  <c r="L17" i="13"/>
  <c r="K17" i="13"/>
  <c r="J17" i="13"/>
  <c r="I18" i="13"/>
  <c r="I17" i="13"/>
  <c r="M11" i="13" l="1"/>
  <c r="M12" i="13"/>
  <c r="M13" i="13"/>
  <c r="M14" i="13"/>
  <c r="K11" i="13"/>
  <c r="K12" i="13"/>
  <c r="K13" i="13"/>
  <c r="K14" i="13"/>
  <c r="J11" i="13"/>
  <c r="J12" i="13"/>
  <c r="J13" i="13"/>
  <c r="J14" i="13"/>
  <c r="H11" i="13"/>
  <c r="H12" i="13"/>
  <c r="H13" i="13"/>
  <c r="H14" i="13"/>
  <c r="G11" i="13"/>
  <c r="G12" i="13"/>
  <c r="G13" i="13"/>
  <c r="G14" i="13"/>
  <c r="B12" i="13"/>
  <c r="B13" i="13"/>
  <c r="B14" i="13"/>
  <c r="B11" i="13"/>
  <c r="M10" i="13" l="1"/>
  <c r="L10" i="13"/>
  <c r="K14" i="15"/>
  <c r="K8" i="15"/>
  <c r="N4" i="15"/>
  <c r="H566" i="15"/>
  <c r="H565" i="15"/>
  <c r="H564" i="15"/>
  <c r="H563" i="15"/>
  <c r="H562" i="15"/>
  <c r="H561" i="15"/>
  <c r="H560" i="15"/>
  <c r="H559" i="15"/>
  <c r="H558" i="15"/>
  <c r="H557" i="15"/>
  <c r="H556" i="15"/>
  <c r="H555" i="15"/>
  <c r="H554" i="15"/>
  <c r="H553" i="15"/>
  <c r="H552" i="15"/>
  <c r="H551" i="15"/>
  <c r="H550" i="15"/>
  <c r="H549" i="15"/>
  <c r="H548" i="15"/>
  <c r="H547" i="15"/>
  <c r="H546" i="15"/>
  <c r="H545" i="15"/>
  <c r="H544" i="15"/>
  <c r="H543" i="15"/>
  <c r="H542" i="15"/>
  <c r="H541" i="15"/>
  <c r="H540" i="15"/>
  <c r="H539" i="15"/>
  <c r="H538" i="15"/>
  <c r="H537" i="15"/>
  <c r="H536" i="15"/>
  <c r="H535" i="15"/>
  <c r="H534" i="15"/>
  <c r="H533" i="15"/>
  <c r="H532" i="15"/>
  <c r="H531" i="15"/>
  <c r="H530" i="15"/>
  <c r="H529" i="15"/>
  <c r="H528" i="15"/>
  <c r="H527" i="15"/>
  <c r="H526" i="15"/>
  <c r="H525" i="15"/>
  <c r="H524" i="15"/>
  <c r="H523" i="15"/>
  <c r="H522" i="15"/>
  <c r="H521" i="15"/>
  <c r="H520" i="15"/>
  <c r="H519" i="15"/>
  <c r="H518" i="15"/>
  <c r="H517" i="15"/>
  <c r="H516" i="15"/>
  <c r="H515" i="15"/>
  <c r="H514" i="15"/>
  <c r="H513" i="15"/>
  <c r="H512" i="15"/>
  <c r="H511" i="15"/>
  <c r="H510" i="15"/>
  <c r="H509" i="15"/>
  <c r="H508" i="15"/>
  <c r="H507" i="15"/>
  <c r="H506" i="15"/>
  <c r="H505" i="15"/>
  <c r="H504" i="15"/>
  <c r="H503" i="15"/>
  <c r="H502" i="15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0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K10" i="13"/>
  <c r="J10" i="13"/>
  <c r="H10" i="13"/>
  <c r="G10" i="13"/>
  <c r="B10" i="13" l="1"/>
  <c r="L14" i="8" l="1"/>
  <c r="K14" i="8"/>
  <c r="J14" i="8"/>
  <c r="I14" i="8"/>
  <c r="H14" i="8"/>
  <c r="G14" i="8"/>
  <c r="F14" i="8"/>
  <c r="E14" i="8"/>
  <c r="D14" i="8"/>
  <c r="C14" i="8"/>
  <c r="L3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M5" i="1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I5" i="11" a="1"/>
  <c r="H8" i="11"/>
  <c r="H9" i="11" s="1"/>
  <c r="H10" i="11" s="1"/>
  <c r="H11" i="11" s="1"/>
  <c r="H12" i="11" s="1"/>
  <c r="H13" i="11" s="1"/>
  <c r="H14" i="11" s="1"/>
  <c r="H15" i="11" s="1"/>
  <c r="H16" i="11" s="1"/>
  <c r="H17" i="11" s="1"/>
  <c r="G3" i="11"/>
  <c r="B3" i="11"/>
  <c r="C7" i="11"/>
  <c r="H5" i="11"/>
  <c r="H6" i="11" s="1"/>
  <c r="H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6" i="11"/>
  <c r="C5" i="11"/>
  <c r="C8" i="11" l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N5" i="11" a="1"/>
  <c r="O7" i="11" s="1"/>
  <c r="L16" i="11"/>
  <c r="I16" i="11"/>
  <c r="I19" i="11"/>
  <c r="I15" i="11"/>
  <c r="I5" i="11"/>
  <c r="I17" i="11" s="1"/>
  <c r="H18" i="11"/>
  <c r="H19" i="11" s="1"/>
  <c r="D5" i="11" a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O12" i="11" l="1"/>
  <c r="O9" i="11"/>
  <c r="N5" i="11"/>
  <c r="O6" i="11" s="1"/>
  <c r="O13" i="11"/>
  <c r="O10" i="11"/>
  <c r="O11" i="11"/>
  <c r="O8" i="11"/>
  <c r="O14" i="11"/>
  <c r="L17" i="11"/>
  <c r="I18" i="11"/>
  <c r="B16" i="11"/>
  <c r="E13" i="11"/>
  <c r="E12" i="11"/>
  <c r="E11" i="11"/>
  <c r="E10" i="11"/>
  <c r="E9" i="11"/>
  <c r="E8" i="11"/>
  <c r="E7" i="11"/>
  <c r="E14" i="11"/>
  <c r="D5" i="11"/>
  <c r="D15" i="11" s="1"/>
  <c r="E15" i="11" s="1"/>
  <c r="N19" i="11" l="1"/>
  <c r="N15" i="11"/>
  <c r="O15" i="11" s="1"/>
  <c r="N17" i="11"/>
  <c r="N18" i="11"/>
  <c r="N16" i="11"/>
  <c r="L18" i="11"/>
  <c r="E6" i="11"/>
  <c r="B17" i="11"/>
  <c r="D16" i="11"/>
  <c r="E16" i="11" s="1"/>
  <c r="O17" i="11" l="1"/>
  <c r="O18" i="11"/>
  <c r="O16" i="11"/>
  <c r="O19" i="11"/>
  <c r="L19" i="11"/>
  <c r="B18" i="11"/>
  <c r="D17" i="11"/>
  <c r="E17" i="11" s="1"/>
  <c r="B19" i="11" l="1"/>
  <c r="D19" i="11" s="1"/>
  <c r="D18" i="11"/>
  <c r="E18" i="11" s="1"/>
  <c r="E19" i="11" l="1"/>
  <c r="O40" i="12" l="1"/>
  <c r="O39" i="12"/>
  <c r="O38" i="12"/>
  <c r="O36" i="12"/>
  <c r="O35" i="12"/>
  <c r="O34" i="12"/>
  <c r="O33" i="12"/>
  <c r="O31" i="12"/>
  <c r="O30" i="12"/>
  <c r="O29" i="12"/>
  <c r="O28" i="12"/>
  <c r="O27" i="12"/>
  <c r="O18" i="12"/>
  <c r="O11" i="12"/>
  <c r="O9" i="12"/>
  <c r="O5" i="12"/>
  <c r="N40" i="12"/>
  <c r="N39" i="12"/>
  <c r="N38" i="12"/>
  <c r="N36" i="12"/>
  <c r="N35" i="12"/>
  <c r="N34" i="12"/>
  <c r="N33" i="12"/>
  <c r="N31" i="12"/>
  <c r="N30" i="12"/>
  <c r="N29" i="12"/>
  <c r="N28" i="12"/>
  <c r="N27" i="12"/>
  <c r="N18" i="12"/>
  <c r="N11" i="12"/>
  <c r="N9" i="12"/>
  <c r="N5" i="12"/>
  <c r="L40" i="12" l="1"/>
  <c r="K40" i="12"/>
  <c r="J40" i="12"/>
  <c r="I40" i="12"/>
  <c r="H40" i="12"/>
  <c r="G40" i="12"/>
  <c r="F40" i="12"/>
  <c r="E40" i="12"/>
  <c r="D40" i="12"/>
  <c r="C40" i="12"/>
  <c r="L39" i="12"/>
  <c r="K39" i="12"/>
  <c r="J39" i="12"/>
  <c r="I39" i="12"/>
  <c r="H39" i="12"/>
  <c r="G39" i="12"/>
  <c r="F39" i="12"/>
  <c r="E39" i="12"/>
  <c r="D39" i="12"/>
  <c r="L38" i="12"/>
  <c r="K38" i="12"/>
  <c r="J38" i="12"/>
  <c r="I38" i="12"/>
  <c r="H38" i="12"/>
  <c r="G38" i="12"/>
  <c r="F38" i="12"/>
  <c r="E38" i="12"/>
  <c r="D38" i="12"/>
  <c r="C39" i="12"/>
  <c r="C38" i="12"/>
  <c r="F35" i="12"/>
  <c r="E35" i="12"/>
  <c r="D35" i="12"/>
  <c r="L34" i="12"/>
  <c r="D34" i="12"/>
  <c r="L33" i="12"/>
  <c r="K33" i="12"/>
  <c r="J33" i="12"/>
  <c r="I33" i="12"/>
  <c r="C35" i="12"/>
  <c r="C34" i="12"/>
  <c r="D31" i="12"/>
  <c r="E31" i="12"/>
  <c r="F31" i="12"/>
  <c r="G31" i="12"/>
  <c r="H31" i="12"/>
  <c r="I31" i="12"/>
  <c r="J31" i="12"/>
  <c r="K31" i="12"/>
  <c r="L31" i="12"/>
  <c r="C30" i="12"/>
  <c r="C31" i="12"/>
  <c r="L30" i="12"/>
  <c r="K30" i="12"/>
  <c r="J30" i="12"/>
  <c r="I30" i="12"/>
  <c r="H30" i="12"/>
  <c r="G30" i="12"/>
  <c r="F30" i="12"/>
  <c r="E30" i="12"/>
  <c r="D30" i="12"/>
  <c r="L29" i="12"/>
  <c r="L35" i="12" s="1"/>
  <c r="L36" i="12" s="1"/>
  <c r="K29" i="12"/>
  <c r="K35" i="12" s="1"/>
  <c r="J29" i="12"/>
  <c r="J35" i="12" s="1"/>
  <c r="I29" i="12"/>
  <c r="I35" i="12" s="1"/>
  <c r="H29" i="12"/>
  <c r="H35" i="12" s="1"/>
  <c r="G29" i="12"/>
  <c r="G35" i="12" s="1"/>
  <c r="F29" i="12"/>
  <c r="E29" i="12"/>
  <c r="D29" i="12"/>
  <c r="C29" i="12"/>
  <c r="C28" i="12"/>
  <c r="D28" i="12"/>
  <c r="E28" i="12"/>
  <c r="E34" i="12" s="1"/>
  <c r="F28" i="12"/>
  <c r="F34" i="12" s="1"/>
  <c r="F36" i="12" s="1"/>
  <c r="G28" i="12"/>
  <c r="G34" i="12" s="1"/>
  <c r="H28" i="12"/>
  <c r="H34" i="12" s="1"/>
  <c r="I28" i="12"/>
  <c r="I34" i="12" s="1"/>
  <c r="I36" i="12" s="1"/>
  <c r="J28" i="12"/>
  <c r="J34" i="12" s="1"/>
  <c r="J36" i="12" s="1"/>
  <c r="K28" i="12"/>
  <c r="K34" i="12" s="1"/>
  <c r="L28" i="12"/>
  <c r="L27" i="12"/>
  <c r="K27" i="12"/>
  <c r="J27" i="12"/>
  <c r="I27" i="12"/>
  <c r="H27" i="12"/>
  <c r="H33" i="12" s="1"/>
  <c r="G27" i="12"/>
  <c r="G33" i="12" s="1"/>
  <c r="F27" i="12"/>
  <c r="F33" i="12" s="1"/>
  <c r="E27" i="12"/>
  <c r="E33" i="12" s="1"/>
  <c r="D27" i="12"/>
  <c r="D33" i="12" s="1"/>
  <c r="D36" i="12" s="1"/>
  <c r="C27" i="12"/>
  <c r="C33" i="12" s="1"/>
  <c r="C36" i="12" s="1"/>
  <c r="C22" i="12"/>
  <c r="L18" i="12"/>
  <c r="K18" i="12"/>
  <c r="J18" i="12"/>
  <c r="I18" i="12"/>
  <c r="H18" i="12"/>
  <c r="G18" i="12"/>
  <c r="F18" i="12"/>
  <c r="E18" i="12"/>
  <c r="D18" i="12"/>
  <c r="C18" i="12"/>
  <c r="L11" i="12"/>
  <c r="K11" i="12"/>
  <c r="J11" i="12"/>
  <c r="I11" i="12"/>
  <c r="H11" i="12"/>
  <c r="G11" i="12"/>
  <c r="F11" i="12"/>
  <c r="E11" i="12"/>
  <c r="D11" i="12"/>
  <c r="C11" i="12"/>
  <c r="L9" i="12"/>
  <c r="K9" i="12"/>
  <c r="J9" i="12"/>
  <c r="I9" i="12"/>
  <c r="H9" i="12"/>
  <c r="G9" i="12"/>
  <c r="F9" i="12"/>
  <c r="E9" i="12"/>
  <c r="D9" i="12"/>
  <c r="L5" i="12"/>
  <c r="K5" i="12"/>
  <c r="J5" i="12"/>
  <c r="I5" i="12"/>
  <c r="H5" i="12"/>
  <c r="G5" i="12"/>
  <c r="F5" i="12"/>
  <c r="E5" i="12"/>
  <c r="D5" i="12"/>
  <c r="B2" i="12"/>
  <c r="L3" i="12"/>
  <c r="K3" i="12"/>
  <c r="J3" i="12"/>
  <c r="I3" i="12"/>
  <c r="H3" i="12"/>
  <c r="G3" i="12"/>
  <c r="F3" i="12"/>
  <c r="E3" i="12"/>
  <c r="D3" i="12"/>
  <c r="C3" i="12"/>
  <c r="K36" i="12" l="1"/>
  <c r="E36" i="12"/>
  <c r="H36" i="12"/>
  <c r="G36" i="12"/>
  <c r="L100" i="8" l="1"/>
  <c r="K100" i="8"/>
  <c r="J100" i="8"/>
  <c r="I100" i="8"/>
  <c r="H100" i="8"/>
  <c r="G100" i="8"/>
  <c r="F100" i="8"/>
  <c r="E100" i="8"/>
  <c r="D100" i="8"/>
  <c r="C100" i="8"/>
  <c r="L98" i="8"/>
  <c r="K98" i="8"/>
  <c r="J98" i="8"/>
  <c r="I98" i="8"/>
  <c r="H98" i="8"/>
  <c r="G98" i="8"/>
  <c r="F98" i="8"/>
  <c r="E98" i="8"/>
  <c r="D98" i="8"/>
  <c r="C98" i="8"/>
  <c r="L97" i="8"/>
  <c r="K97" i="8"/>
  <c r="J97" i="8"/>
  <c r="I97" i="8"/>
  <c r="H97" i="8"/>
  <c r="G97" i="8"/>
  <c r="F97" i="8"/>
  <c r="E97" i="8"/>
  <c r="D97" i="8"/>
  <c r="C97" i="8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E95" i="8"/>
  <c r="D95" i="8"/>
  <c r="C95" i="8"/>
  <c r="L94" i="8"/>
  <c r="K94" i="8"/>
  <c r="J94" i="8"/>
  <c r="I94" i="8"/>
  <c r="H94" i="8"/>
  <c r="G94" i="8"/>
  <c r="F94" i="8"/>
  <c r="E94" i="8"/>
  <c r="D94" i="8"/>
  <c r="C94" i="8"/>
  <c r="L93" i="8"/>
  <c r="K93" i="8"/>
  <c r="J93" i="8"/>
  <c r="I93" i="8"/>
  <c r="H93" i="8"/>
  <c r="G93" i="8"/>
  <c r="F93" i="8"/>
  <c r="E93" i="8"/>
  <c r="D93" i="8"/>
  <c r="C93" i="8"/>
  <c r="L92" i="8"/>
  <c r="K92" i="8"/>
  <c r="J92" i="8"/>
  <c r="I92" i="8"/>
  <c r="H92" i="8"/>
  <c r="G92" i="8"/>
  <c r="F92" i="8"/>
  <c r="E92" i="8"/>
  <c r="D92" i="8"/>
  <c r="C92" i="8"/>
  <c r="L89" i="8"/>
  <c r="K89" i="8"/>
  <c r="J89" i="8"/>
  <c r="I89" i="8"/>
  <c r="H89" i="8"/>
  <c r="G89" i="8"/>
  <c r="F89" i="8"/>
  <c r="E89" i="8"/>
  <c r="D89" i="8"/>
  <c r="C85" i="8"/>
  <c r="C89" i="8" s="1"/>
  <c r="L88" i="8"/>
  <c r="K88" i="8"/>
  <c r="J88" i="8"/>
  <c r="I88" i="8"/>
  <c r="H88" i="8"/>
  <c r="G88" i="8"/>
  <c r="F88" i="8"/>
  <c r="E88" i="8"/>
  <c r="D88" i="8"/>
  <c r="L87" i="8"/>
  <c r="K87" i="8"/>
  <c r="J87" i="8"/>
  <c r="I87" i="8"/>
  <c r="H87" i="8"/>
  <c r="G87" i="8"/>
  <c r="F87" i="8"/>
  <c r="E87" i="8"/>
  <c r="D87" i="8"/>
  <c r="L86" i="8"/>
  <c r="K86" i="8"/>
  <c r="J86" i="8"/>
  <c r="I86" i="8"/>
  <c r="H86" i="8"/>
  <c r="G86" i="8"/>
  <c r="F86" i="8"/>
  <c r="E86" i="8"/>
  <c r="D86" i="8"/>
  <c r="L85" i="8"/>
  <c r="K85" i="8"/>
  <c r="J85" i="8"/>
  <c r="I85" i="8"/>
  <c r="H85" i="8"/>
  <c r="G85" i="8"/>
  <c r="F85" i="8"/>
  <c r="E85" i="8"/>
  <c r="D85" i="8"/>
  <c r="L84" i="8"/>
  <c r="K84" i="8"/>
  <c r="J84" i="8"/>
  <c r="I84" i="8"/>
  <c r="H84" i="8"/>
  <c r="G84" i="8"/>
  <c r="F84" i="8"/>
  <c r="E84" i="8"/>
  <c r="D84" i="8"/>
  <c r="L83" i="8"/>
  <c r="K83" i="8"/>
  <c r="J83" i="8"/>
  <c r="I83" i="8"/>
  <c r="H83" i="8"/>
  <c r="G83" i="8"/>
  <c r="F83" i="8"/>
  <c r="E83" i="8"/>
  <c r="D83" i="8"/>
  <c r="L82" i="8"/>
  <c r="K82" i="8"/>
  <c r="J82" i="8"/>
  <c r="I82" i="8"/>
  <c r="H82" i="8"/>
  <c r="G82" i="8"/>
  <c r="F82" i="8"/>
  <c r="E82" i="8"/>
  <c r="D82" i="8"/>
  <c r="L81" i="8"/>
  <c r="K81" i="8"/>
  <c r="J81" i="8"/>
  <c r="I81" i="8"/>
  <c r="H81" i="8"/>
  <c r="G81" i="8"/>
  <c r="F81" i="8"/>
  <c r="E81" i="8"/>
  <c r="D81" i="8"/>
  <c r="L80" i="8"/>
  <c r="K80" i="8"/>
  <c r="J80" i="8"/>
  <c r="I80" i="8"/>
  <c r="H80" i="8"/>
  <c r="G80" i="8"/>
  <c r="F80" i="8"/>
  <c r="E80" i="8"/>
  <c r="D80" i="8"/>
  <c r="C88" i="8"/>
  <c r="C87" i="8"/>
  <c r="C86" i="8"/>
  <c r="C84" i="8"/>
  <c r="C83" i="8"/>
  <c r="C82" i="8"/>
  <c r="C81" i="8"/>
  <c r="C80" i="8"/>
  <c r="L77" i="8"/>
  <c r="K77" i="8"/>
  <c r="J77" i="8"/>
  <c r="I77" i="8"/>
  <c r="H77" i="8"/>
  <c r="G77" i="8"/>
  <c r="F77" i="8"/>
  <c r="E77" i="8"/>
  <c r="D77" i="8"/>
  <c r="C77" i="8"/>
  <c r="L76" i="8"/>
  <c r="K76" i="8"/>
  <c r="J76" i="8"/>
  <c r="I76" i="8"/>
  <c r="H76" i="8"/>
  <c r="G76" i="8"/>
  <c r="F76" i="8"/>
  <c r="E76" i="8"/>
  <c r="D76" i="8"/>
  <c r="L75" i="8"/>
  <c r="K75" i="8"/>
  <c r="J75" i="8"/>
  <c r="I75" i="8"/>
  <c r="H75" i="8"/>
  <c r="G75" i="8"/>
  <c r="F75" i="8"/>
  <c r="E75" i="8"/>
  <c r="D75" i="8"/>
  <c r="L74" i="8"/>
  <c r="K74" i="8"/>
  <c r="J74" i="8"/>
  <c r="I74" i="8"/>
  <c r="H74" i="8"/>
  <c r="G74" i="8"/>
  <c r="F74" i="8"/>
  <c r="E74" i="8"/>
  <c r="D74" i="8"/>
  <c r="L73" i="8"/>
  <c r="K73" i="8"/>
  <c r="J73" i="8"/>
  <c r="I73" i="8"/>
  <c r="H73" i="8"/>
  <c r="G73" i="8"/>
  <c r="F73" i="8"/>
  <c r="E73" i="8"/>
  <c r="D73" i="8"/>
  <c r="L72" i="8"/>
  <c r="K72" i="8"/>
  <c r="J72" i="8"/>
  <c r="I72" i="8"/>
  <c r="H72" i="8"/>
  <c r="G72" i="8"/>
  <c r="F72" i="8"/>
  <c r="E72" i="8"/>
  <c r="D72" i="8"/>
  <c r="L71" i="8"/>
  <c r="K71" i="8"/>
  <c r="J71" i="8"/>
  <c r="I71" i="8"/>
  <c r="H71" i="8"/>
  <c r="G71" i="8"/>
  <c r="F71" i="8"/>
  <c r="E71" i="8"/>
  <c r="D71" i="8"/>
  <c r="L70" i="8"/>
  <c r="K70" i="8"/>
  <c r="J70" i="8"/>
  <c r="I70" i="8"/>
  <c r="H70" i="8"/>
  <c r="G70" i="8"/>
  <c r="F70" i="8"/>
  <c r="E70" i="8"/>
  <c r="D70" i="8"/>
  <c r="L69" i="8"/>
  <c r="K69" i="8"/>
  <c r="J69" i="8"/>
  <c r="I69" i="8"/>
  <c r="H69" i="8"/>
  <c r="G69" i="8"/>
  <c r="F69" i="8"/>
  <c r="E69" i="8"/>
  <c r="D69" i="8"/>
  <c r="C76" i="8"/>
  <c r="C75" i="8"/>
  <c r="C74" i="8"/>
  <c r="C73" i="8"/>
  <c r="C72" i="8"/>
  <c r="C71" i="8"/>
  <c r="C70" i="8"/>
  <c r="C69" i="8"/>
  <c r="L55" i="8" l="1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L52" i="8"/>
  <c r="K52" i="8"/>
  <c r="K56" i="8" s="1"/>
  <c r="J52" i="8"/>
  <c r="J56" i="8" s="1"/>
  <c r="I52" i="8"/>
  <c r="I56" i="8" s="1"/>
  <c r="H52" i="8"/>
  <c r="H56" i="8" s="1"/>
  <c r="G52" i="8"/>
  <c r="F52" i="8"/>
  <c r="E52" i="8"/>
  <c r="D52" i="8"/>
  <c r="L60" i="8"/>
  <c r="K60" i="8"/>
  <c r="J60" i="8"/>
  <c r="I60" i="8"/>
  <c r="H60" i="8"/>
  <c r="G60" i="8"/>
  <c r="F60" i="8"/>
  <c r="E60" i="8"/>
  <c r="D60" i="8"/>
  <c r="L59" i="8"/>
  <c r="K59" i="8"/>
  <c r="J59" i="8"/>
  <c r="I59" i="8"/>
  <c r="H59" i="8"/>
  <c r="G59" i="8"/>
  <c r="F59" i="8"/>
  <c r="E59" i="8"/>
  <c r="D59" i="8"/>
  <c r="L58" i="8"/>
  <c r="L61" i="8" s="1"/>
  <c r="K58" i="8"/>
  <c r="J58" i="8"/>
  <c r="I58" i="8"/>
  <c r="H58" i="8"/>
  <c r="G58" i="8"/>
  <c r="F58" i="8"/>
  <c r="E58" i="8"/>
  <c r="D58" i="8"/>
  <c r="C60" i="8"/>
  <c r="C59" i="8"/>
  <c r="C58" i="8"/>
  <c r="B60" i="8"/>
  <c r="B59" i="8"/>
  <c r="B58" i="8"/>
  <c r="L54" i="8"/>
  <c r="K54" i="8"/>
  <c r="J54" i="8"/>
  <c r="I54" i="8"/>
  <c r="H54" i="8"/>
  <c r="G54" i="8"/>
  <c r="F54" i="8"/>
  <c r="E54" i="8"/>
  <c r="D54" i="8"/>
  <c r="C54" i="8"/>
  <c r="C53" i="8"/>
  <c r="C52" i="8"/>
  <c r="B55" i="8"/>
  <c r="B54" i="8"/>
  <c r="B53" i="8"/>
  <c r="F50" i="8"/>
  <c r="E50" i="8"/>
  <c r="D50" i="8"/>
  <c r="L49" i="8"/>
  <c r="K49" i="8"/>
  <c r="J49" i="8"/>
  <c r="I49" i="8"/>
  <c r="H49" i="8"/>
  <c r="G49" i="8"/>
  <c r="F49" i="8"/>
  <c r="E49" i="8"/>
  <c r="D49" i="8"/>
  <c r="L48" i="8"/>
  <c r="K48" i="8"/>
  <c r="J48" i="8"/>
  <c r="I48" i="8"/>
  <c r="H48" i="8"/>
  <c r="G48" i="8"/>
  <c r="F48" i="8"/>
  <c r="E48" i="8"/>
  <c r="D48" i="8"/>
  <c r="C49" i="8"/>
  <c r="C48" i="8"/>
  <c r="C50" i="8" s="1"/>
  <c r="L47" i="8"/>
  <c r="K47" i="8"/>
  <c r="J47" i="8"/>
  <c r="J50" i="8" s="1"/>
  <c r="I47" i="8"/>
  <c r="H47" i="8"/>
  <c r="G47" i="8"/>
  <c r="F47" i="8"/>
  <c r="E47" i="8"/>
  <c r="D47" i="8"/>
  <c r="C47" i="8"/>
  <c r="L46" i="8"/>
  <c r="K46" i="8"/>
  <c r="J46" i="8"/>
  <c r="I46" i="8"/>
  <c r="H46" i="8"/>
  <c r="H50" i="8" s="1"/>
  <c r="G46" i="8"/>
  <c r="F46" i="8"/>
  <c r="E46" i="8"/>
  <c r="D46" i="8"/>
  <c r="C46" i="8"/>
  <c r="B49" i="8"/>
  <c r="B48" i="8"/>
  <c r="B47" i="8"/>
  <c r="B46" i="8"/>
  <c r="M40" i="8"/>
  <c r="L40" i="8"/>
  <c r="K40" i="8"/>
  <c r="J40" i="8"/>
  <c r="L35" i="8"/>
  <c r="K35" i="8"/>
  <c r="J35" i="8"/>
  <c r="I35" i="8"/>
  <c r="I40" i="8" s="1"/>
  <c r="H35" i="8"/>
  <c r="H40" i="8" s="1"/>
  <c r="G35" i="8"/>
  <c r="G40" i="8" s="1"/>
  <c r="F35" i="8"/>
  <c r="F40" i="8" s="1"/>
  <c r="E35" i="8"/>
  <c r="E40" i="8" s="1"/>
  <c r="D35" i="8"/>
  <c r="D40" i="8" s="1"/>
  <c r="C35" i="8"/>
  <c r="C40" i="8" s="1"/>
  <c r="M32" i="8"/>
  <c r="M29" i="8"/>
  <c r="L29" i="8"/>
  <c r="K29" i="8"/>
  <c r="J29" i="8"/>
  <c r="I29" i="8"/>
  <c r="H29" i="8"/>
  <c r="G29" i="8"/>
  <c r="F29" i="8"/>
  <c r="E29" i="8"/>
  <c r="D29" i="8"/>
  <c r="C29" i="8"/>
  <c r="M23" i="8"/>
  <c r="L23" i="8"/>
  <c r="K23" i="8"/>
  <c r="J23" i="8"/>
  <c r="I23" i="8"/>
  <c r="H23" i="8"/>
  <c r="G23" i="8"/>
  <c r="F23" i="8"/>
  <c r="E23" i="8"/>
  <c r="D23" i="8"/>
  <c r="C23" i="8"/>
  <c r="M20" i="8"/>
  <c r="M8" i="8"/>
  <c r="M5" i="8"/>
  <c r="M24" i="8" s="1"/>
  <c r="L20" i="8"/>
  <c r="K20" i="8"/>
  <c r="J20" i="8"/>
  <c r="I20" i="8"/>
  <c r="H20" i="8"/>
  <c r="G20" i="8"/>
  <c r="F20" i="8"/>
  <c r="E20" i="8"/>
  <c r="D20" i="8"/>
  <c r="C20" i="8"/>
  <c r="J15" i="8"/>
  <c r="J17" i="12" s="1"/>
  <c r="I15" i="8"/>
  <c r="I17" i="12" s="1"/>
  <c r="H15" i="8"/>
  <c r="H17" i="12" s="1"/>
  <c r="G15" i="8"/>
  <c r="G17" i="12" s="1"/>
  <c r="F15" i="8"/>
  <c r="F17" i="12" s="1"/>
  <c r="E15" i="8"/>
  <c r="E17" i="12" s="1"/>
  <c r="L8" i="8"/>
  <c r="K8" i="8"/>
  <c r="J8" i="8"/>
  <c r="I8" i="8"/>
  <c r="H8" i="8"/>
  <c r="G8" i="8"/>
  <c r="F8" i="8"/>
  <c r="E8" i="8"/>
  <c r="D8" i="8"/>
  <c r="C8" i="8"/>
  <c r="H6" i="8"/>
  <c r="L5" i="8"/>
  <c r="L11" i="8" s="1"/>
  <c r="L12" i="8" s="1"/>
  <c r="K5" i="8"/>
  <c r="K6" i="8" s="1"/>
  <c r="J5" i="8"/>
  <c r="I5" i="8"/>
  <c r="H5" i="8"/>
  <c r="G5" i="8"/>
  <c r="G6" i="8" s="1"/>
  <c r="F5" i="8"/>
  <c r="F6" i="8" s="1"/>
  <c r="E5" i="8"/>
  <c r="E9" i="8" s="1"/>
  <c r="D5" i="8"/>
  <c r="C5" i="8"/>
  <c r="C24" i="8" s="1"/>
  <c r="B2" i="8"/>
  <c r="L3" i="8"/>
  <c r="K3" i="8"/>
  <c r="J3" i="8"/>
  <c r="I3" i="8"/>
  <c r="H3" i="8"/>
  <c r="G3" i="8"/>
  <c r="F3" i="8"/>
  <c r="E3" i="8"/>
  <c r="D3" i="8"/>
  <c r="C3" i="8"/>
  <c r="B6" i="6"/>
  <c r="E1" i="6"/>
  <c r="C61" i="8" l="1"/>
  <c r="H21" i="8"/>
  <c r="F9" i="8"/>
  <c r="K50" i="8"/>
  <c r="I17" i="8"/>
  <c r="K15" i="8"/>
  <c r="K17" i="12" s="1"/>
  <c r="G61" i="8"/>
  <c r="J17" i="8"/>
  <c r="H61" i="8"/>
  <c r="H63" i="8" s="1"/>
  <c r="H65" i="8" s="1"/>
  <c r="K17" i="8"/>
  <c r="L21" i="8"/>
  <c r="K24" i="8"/>
  <c r="G50" i="8"/>
  <c r="I61" i="8"/>
  <c r="I63" i="8" s="1"/>
  <c r="L50" i="8"/>
  <c r="D61" i="8"/>
  <c r="L17" i="8"/>
  <c r="L24" i="8"/>
  <c r="J61" i="8"/>
  <c r="J63" i="8" s="1"/>
  <c r="J65" i="8" s="1"/>
  <c r="I50" i="8"/>
  <c r="G24" i="8"/>
  <c r="M33" i="8"/>
  <c r="K61" i="8"/>
  <c r="K63" i="8" s="1"/>
  <c r="I11" i="8"/>
  <c r="I12" i="8" s="1"/>
  <c r="D9" i="8"/>
  <c r="L9" i="8"/>
  <c r="L15" i="8"/>
  <c r="L17" i="12" s="1"/>
  <c r="L56" i="8"/>
  <c r="L63" i="8" s="1"/>
  <c r="L65" i="8" s="1"/>
  <c r="M37" i="8"/>
  <c r="K9" i="8"/>
  <c r="J21" i="8"/>
  <c r="C56" i="8"/>
  <c r="K11" i="8"/>
  <c r="K12" i="8" s="1"/>
  <c r="L6" i="8"/>
  <c r="G17" i="8"/>
  <c r="G26" i="8" s="1"/>
  <c r="C15" i="8"/>
  <c r="C17" i="12" s="1"/>
  <c r="K21" i="8"/>
  <c r="I24" i="8"/>
  <c r="E61" i="8"/>
  <c r="D6" i="8"/>
  <c r="J11" i="8"/>
  <c r="J12" i="8" s="1"/>
  <c r="E6" i="8"/>
  <c r="H9" i="8"/>
  <c r="D15" i="8"/>
  <c r="D17" i="12" s="1"/>
  <c r="J24" i="8"/>
  <c r="F61" i="8"/>
  <c r="F17" i="8"/>
  <c r="J6" i="8"/>
  <c r="I9" i="8"/>
  <c r="I6" i="8"/>
  <c r="G11" i="8"/>
  <c r="G12" i="8" s="1"/>
  <c r="J9" i="8"/>
  <c r="F21" i="8"/>
  <c r="D56" i="8"/>
  <c r="E56" i="8"/>
  <c r="F56" i="8"/>
  <c r="G56" i="8"/>
  <c r="C9" i="8"/>
  <c r="E11" i="8"/>
  <c r="E12" i="8" s="1"/>
  <c r="F24" i="8"/>
  <c r="F11" i="8"/>
  <c r="F12" i="8" s="1"/>
  <c r="G21" i="8"/>
  <c r="H17" i="8"/>
  <c r="M21" i="8"/>
  <c r="E21" i="8"/>
  <c r="H24" i="8"/>
  <c r="H11" i="8"/>
  <c r="H12" i="8" s="1"/>
  <c r="D17" i="8"/>
  <c r="I21" i="8"/>
  <c r="C21" i="8"/>
  <c r="C11" i="8"/>
  <c r="C12" i="8" s="1"/>
  <c r="D21" i="8"/>
  <c r="D11" i="8"/>
  <c r="D12" i="8" s="1"/>
  <c r="E24" i="8"/>
  <c r="C17" i="8"/>
  <c r="G9" i="8"/>
  <c r="E17" i="8"/>
  <c r="D24" i="8"/>
  <c r="M15" i="8"/>
  <c r="M9" i="8"/>
  <c r="M17" i="8"/>
  <c r="M11" i="8"/>
  <c r="M12" i="8" s="1"/>
  <c r="M6" i="8"/>
  <c r="F18" i="8" l="1"/>
  <c r="F12" i="12" s="1"/>
  <c r="F13" i="12"/>
  <c r="F19" i="12" s="1"/>
  <c r="F6" i="12"/>
  <c r="F21" i="12"/>
  <c r="F25" i="12"/>
  <c r="G6" i="12"/>
  <c r="G13" i="12"/>
  <c r="G19" i="12" s="1"/>
  <c r="G25" i="12"/>
  <c r="G21" i="12"/>
  <c r="D13" i="12"/>
  <c r="D19" i="12" s="1"/>
  <c r="D25" i="12"/>
  <c r="D21" i="12"/>
  <c r="G18" i="8"/>
  <c r="G12" i="12" s="1"/>
  <c r="J26" i="8"/>
  <c r="J27" i="8" s="1"/>
  <c r="J14" i="12" s="1"/>
  <c r="J13" i="12"/>
  <c r="J19" i="12" s="1"/>
  <c r="J25" i="12"/>
  <c r="J6" i="12"/>
  <c r="J21" i="12"/>
  <c r="E25" i="12"/>
  <c r="E21" i="12"/>
  <c r="E6" i="12"/>
  <c r="E13" i="12"/>
  <c r="E19" i="12" s="1"/>
  <c r="H21" i="12"/>
  <c r="H13" i="12"/>
  <c r="H19" i="12" s="1"/>
  <c r="H25" i="12"/>
  <c r="H6" i="12"/>
  <c r="I26" i="8"/>
  <c r="I32" i="8" s="1"/>
  <c r="I13" i="12"/>
  <c r="I19" i="12" s="1"/>
  <c r="I21" i="12"/>
  <c r="I25" i="12"/>
  <c r="I6" i="12"/>
  <c r="D6" i="12"/>
  <c r="C25" i="12"/>
  <c r="C13" i="12"/>
  <c r="C19" i="12" s="1"/>
  <c r="C21" i="12"/>
  <c r="K6" i="12"/>
  <c r="K21" i="12"/>
  <c r="K13" i="12"/>
  <c r="K19" i="12" s="1"/>
  <c r="K25" i="12"/>
  <c r="K26" i="8"/>
  <c r="K18" i="8"/>
  <c r="K12" i="12" s="1"/>
  <c r="L26" i="8"/>
  <c r="L7" i="12" s="1"/>
  <c r="L21" i="12"/>
  <c r="L25" i="12"/>
  <c r="L13" i="12"/>
  <c r="L6" i="12"/>
  <c r="N17" i="12"/>
  <c r="O17" i="12"/>
  <c r="J18" i="8"/>
  <c r="J12" i="12" s="1"/>
  <c r="I18" i="8"/>
  <c r="I12" i="12" s="1"/>
  <c r="K65" i="8"/>
  <c r="I65" i="8"/>
  <c r="G63" i="8"/>
  <c r="G65" i="8" s="1"/>
  <c r="L18" i="8"/>
  <c r="L12" i="12" s="1"/>
  <c r="C63" i="8"/>
  <c r="C65" i="8" s="1"/>
  <c r="D63" i="8"/>
  <c r="D65" i="8" s="1"/>
  <c r="G27" i="8"/>
  <c r="G14" i="12" s="1"/>
  <c r="G32" i="8"/>
  <c r="F26" i="8"/>
  <c r="G30" i="8"/>
  <c r="E63" i="8"/>
  <c r="E65" i="8" s="1"/>
  <c r="I30" i="8"/>
  <c r="F63" i="8"/>
  <c r="F65" i="8" s="1"/>
  <c r="J30" i="8"/>
  <c r="K27" i="8"/>
  <c r="K14" i="12" s="1"/>
  <c r="K32" i="8"/>
  <c r="M41" i="8"/>
  <c r="M43" i="8" s="1"/>
  <c r="M18" i="8"/>
  <c r="M26" i="8"/>
  <c r="D18" i="8"/>
  <c r="D12" i="12" s="1"/>
  <c r="D26" i="8"/>
  <c r="E26" i="8"/>
  <c r="E7" i="12" s="1"/>
  <c r="E18" i="8"/>
  <c r="E12" i="12" s="1"/>
  <c r="C26" i="8"/>
  <c r="C18" i="8"/>
  <c r="C12" i="12" s="1"/>
  <c r="H18" i="8"/>
  <c r="H12" i="12" s="1"/>
  <c r="H26" i="8"/>
  <c r="H7" i="12" s="1"/>
  <c r="D7" i="12" l="1"/>
  <c r="F7" i="12"/>
  <c r="I27" i="8"/>
  <c r="I14" i="12" s="1"/>
  <c r="J32" i="8"/>
  <c r="J23" i="12" s="1"/>
  <c r="G23" i="12"/>
  <c r="I23" i="12"/>
  <c r="I7" i="12"/>
  <c r="G7" i="12"/>
  <c r="J7" i="12"/>
  <c r="K23" i="12"/>
  <c r="K30" i="8"/>
  <c r="K7" i="12"/>
  <c r="O21" i="12"/>
  <c r="N21" i="12"/>
  <c r="O12" i="12"/>
  <c r="N12" i="12"/>
  <c r="L30" i="8"/>
  <c r="L32" i="8"/>
  <c r="L27" i="8"/>
  <c r="L14" i="12" s="1"/>
  <c r="N6" i="12"/>
  <c r="O6" i="12"/>
  <c r="O13" i="12"/>
  <c r="N13" i="12"/>
  <c r="L19" i="12"/>
  <c r="O25" i="12"/>
  <c r="N25" i="12"/>
  <c r="D27" i="8"/>
  <c r="D14" i="12" s="1"/>
  <c r="D30" i="8"/>
  <c r="D32" i="8"/>
  <c r="D23" i="12" s="1"/>
  <c r="I37" i="8"/>
  <c r="I33" i="8"/>
  <c r="I15" i="12" s="1"/>
  <c r="M27" i="8"/>
  <c r="M30" i="8"/>
  <c r="K33" i="8"/>
  <c r="K15" i="12" s="1"/>
  <c r="K37" i="8"/>
  <c r="F27" i="8"/>
  <c r="F14" i="12" s="1"/>
  <c r="F32" i="8"/>
  <c r="F30" i="8"/>
  <c r="C27" i="8"/>
  <c r="C14" i="12" s="1"/>
  <c r="C30" i="8"/>
  <c r="C32" i="8"/>
  <c r="G33" i="8"/>
  <c r="G15" i="12" s="1"/>
  <c r="G37" i="8"/>
  <c r="E27" i="8"/>
  <c r="E14" i="12" s="1"/>
  <c r="E32" i="8"/>
  <c r="E30" i="8"/>
  <c r="H27" i="8"/>
  <c r="H14" i="12" s="1"/>
  <c r="H30" i="8"/>
  <c r="H32" i="8"/>
  <c r="I8" i="12" s="1"/>
  <c r="J33" i="8" l="1"/>
  <c r="J15" i="12" s="1"/>
  <c r="K8" i="12"/>
  <c r="J37" i="8"/>
  <c r="K38" i="8" s="1"/>
  <c r="J8" i="12"/>
  <c r="N7" i="12"/>
  <c r="F8" i="12"/>
  <c r="F23" i="12"/>
  <c r="O7" i="12"/>
  <c r="H23" i="12"/>
  <c r="H8" i="12"/>
  <c r="E8" i="12"/>
  <c r="E23" i="12"/>
  <c r="G8" i="12"/>
  <c r="D8" i="12"/>
  <c r="C23" i="12"/>
  <c r="C24" i="12" s="1"/>
  <c r="N14" i="12"/>
  <c r="O14" i="12"/>
  <c r="L8" i="12"/>
  <c r="L23" i="12"/>
  <c r="L37" i="8"/>
  <c r="L38" i="8" s="1"/>
  <c r="L33" i="8"/>
  <c r="L15" i="12" s="1"/>
  <c r="O19" i="12"/>
  <c r="N19" i="12"/>
  <c r="E33" i="8"/>
  <c r="E15" i="12" s="1"/>
  <c r="E37" i="8"/>
  <c r="H37" i="8"/>
  <c r="I38" i="8" s="1"/>
  <c r="H33" i="8"/>
  <c r="H15" i="12" s="1"/>
  <c r="D37" i="8"/>
  <c r="D41" i="8" s="1"/>
  <c r="D43" i="8" s="1"/>
  <c r="D22" i="12" s="1"/>
  <c r="D24" i="12" s="1"/>
  <c r="D33" i="8"/>
  <c r="D15" i="12" s="1"/>
  <c r="G41" i="8"/>
  <c r="G43" i="8" s="1"/>
  <c r="G22" i="12" s="1"/>
  <c r="G24" i="12" s="1"/>
  <c r="C37" i="8"/>
  <c r="C33" i="8"/>
  <c r="C15" i="12" s="1"/>
  <c r="J41" i="8"/>
  <c r="J43" i="8" s="1"/>
  <c r="J22" i="12" s="1"/>
  <c r="J24" i="12" s="1"/>
  <c r="J38" i="8"/>
  <c r="I41" i="8"/>
  <c r="I43" i="8" s="1"/>
  <c r="I22" i="12" s="1"/>
  <c r="I24" i="12" s="1"/>
  <c r="F33" i="8"/>
  <c r="F15" i="12" s="1"/>
  <c r="F37" i="8"/>
  <c r="G38" i="8" s="1"/>
  <c r="K41" i="8"/>
  <c r="K43" i="8" s="1"/>
  <c r="K22" i="12" s="1"/>
  <c r="K24" i="12" s="1"/>
  <c r="M38" i="8" l="1"/>
  <c r="O15" i="12"/>
  <c r="N15" i="12"/>
  <c r="L41" i="8"/>
  <c r="L43" i="8" s="1"/>
  <c r="L22" i="12" s="1"/>
  <c r="O23" i="12"/>
  <c r="N23" i="12"/>
  <c r="N8" i="12"/>
  <c r="O8" i="12"/>
  <c r="D38" i="8"/>
  <c r="C41" i="8"/>
  <c r="F38" i="8"/>
  <c r="F41" i="8"/>
  <c r="F43" i="8" s="1"/>
  <c r="F22" i="12" s="1"/>
  <c r="F24" i="12" s="1"/>
  <c r="H38" i="8"/>
  <c r="H41" i="8"/>
  <c r="H43" i="8" s="1"/>
  <c r="H22" i="12" s="1"/>
  <c r="H24" i="12" s="1"/>
  <c r="E38" i="8"/>
  <c r="E41" i="8"/>
  <c r="E43" i="8" s="1"/>
  <c r="E22" i="12" s="1"/>
  <c r="E24" i="12" s="1"/>
  <c r="L24" i="12" l="1"/>
  <c r="O22" i="12"/>
  <c r="N22" i="12"/>
  <c r="O24" i="12" l="1"/>
  <c r="N2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<sst xmlns="http://schemas.openxmlformats.org/spreadsheetml/2006/main" count="429" uniqueCount="338">
  <si>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</si>
  <si>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</si>
  <si>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</si>
  <si>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</si>
  <si>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</si>
  <si>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</si>
  <si>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</si>
  <si>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</si>
  <si>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</si>
  <si>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</si>
  <si>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</si>
  <si>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</si>
  <si>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</si>
  <si>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</si>
  <si>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</si>
  <si>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</si>
  <si>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</si>
  <si>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</si>
  <si>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</si>
  <si>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</si>
  <si>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</si>
  <si>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</si>
  <si>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</si>
  <si>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</si>
  <si>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</si>
  <si>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</si>
  <si>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</si>
  <si>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</si>
  <si>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</si>
  <si>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</si>
  <si>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</si>
  <si>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</si>
  <si>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</si>
  <si>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MARUTI SUZUKI INDIA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</si>
  <si>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</si>
  <si>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</si>
  <si>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</si>
  <si>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</si>
  <si>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</si>
  <si>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</si>
  <si>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</si>
  <si>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</si>
  <si>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</si>
  <si>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</si>
  <si>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</si>
  <si>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</si>
  <si>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</si>
  <si>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</si>
  <si>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</si>
  <si>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</si>
  <si>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</si>
  <si>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</si>
  <si>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</si>
  <si>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</si>
  <si>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</si>
  <si>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</si>
  <si>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</si>
  <si>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</si>
  <si>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SALES</t>
  </si>
  <si>
    <t>SALES GROWTH</t>
  </si>
  <si>
    <t>COGS</t>
  </si>
  <si>
    <t>COGS%SALES</t>
  </si>
  <si>
    <t>GROSS PROFIT</t>
  </si>
  <si>
    <t>GROSS MARGIN</t>
  </si>
  <si>
    <t>S&amp;G EXPENSES</t>
  </si>
  <si>
    <t>S&amp;G EXPENSES%SALES</t>
  </si>
  <si>
    <t>EBITDA</t>
  </si>
  <si>
    <t>EBITDA%SALES</t>
  </si>
  <si>
    <t>INTEREST</t>
  </si>
  <si>
    <t>INTEREST%SALES</t>
  </si>
  <si>
    <t>DEPRECIATION</t>
  </si>
  <si>
    <t>DEPRECIATION%SALES</t>
  </si>
  <si>
    <t>EARNING BEFORE TAX</t>
  </si>
  <si>
    <t>EBT%SALES</t>
  </si>
  <si>
    <t>TAX</t>
  </si>
  <si>
    <t>EFFECTIVE TAX RATE</t>
  </si>
  <si>
    <t>NET PROFIT</t>
  </si>
  <si>
    <t>NET MARGINS</t>
  </si>
  <si>
    <t>NO OF EQUITY SHARE</t>
  </si>
  <si>
    <t>EPS GROWTH%</t>
  </si>
  <si>
    <t>DIVIDEND PER SHARE</t>
  </si>
  <si>
    <t>DIVIDEND PAY OUT RATIO</t>
  </si>
  <si>
    <t>RETAINED EARNING</t>
  </si>
  <si>
    <t>-</t>
  </si>
  <si>
    <t xml:space="preserve"> </t>
  </si>
  <si>
    <t>INCOME STATEMENT (in cr.)</t>
  </si>
  <si>
    <t>BALANCE SHEET (in cr.)</t>
  </si>
  <si>
    <t>TOTAL LIABILITIES</t>
  </si>
  <si>
    <t>Fixed Asset Net Block</t>
  </si>
  <si>
    <t>Total Non-Current Assets</t>
  </si>
  <si>
    <t>Total Current Assests</t>
  </si>
  <si>
    <t>Total Assets</t>
  </si>
  <si>
    <t>CHECK</t>
  </si>
  <si>
    <t xml:space="preserve">   CASH FLOW STATEMENT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</si>
  <si>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</si>
  <si>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</si>
  <si>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</si>
  <si>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</si>
  <si>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</si>
  <si>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</si>
  <si>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</si>
  <si>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</si>
  <si>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</si>
  <si>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</si>
  <si>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</si>
  <si>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</si>
  <si>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</si>
  <si>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</si>
  <si>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</si>
  <si>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</si>
  <si>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</si>
  <si>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 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</si>
  <si>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</si>
  <si>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</si>
  <si>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</si>
  <si>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</si>
  <si>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</si>
  <si>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</si>
  <si>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</si>
  <si>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FLOW FROM OPERATING ACTIVITIES</t>
  </si>
  <si>
    <t>INVESTING ACTIVITIES</t>
  </si>
  <si>
    <t>CASH FLOW FROM INVESTING ACTIVITIES</t>
  </si>
  <si>
    <t>FINANCING ACTIVITIES</t>
  </si>
  <si>
    <t>CASH FLOW FORM FINANCING ACTIVITY</t>
  </si>
  <si>
    <t>NET CASHFLOW</t>
  </si>
  <si>
    <t>Sales 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</si>
  <si>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</si>
  <si>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</si>
  <si>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</si>
  <si>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</si>
  <si>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</si>
  <si>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</si>
  <si>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</si>
  <si>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</si>
  <si>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</si>
  <si>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</si>
  <si>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</si>
  <si>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Operating%Sales</t>
  </si>
  <si>
    <t>Return on Capital Employeed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</si>
  <si>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</si>
  <si>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</si>
  <si>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</si>
  <si>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</si>
  <si>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</si>
  <si>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</si>
  <si>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</si>
  <si>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</t>
  </si>
  <si>
    <t xml:space="preserve"> Capital Turnover Ratio</t>
  </si>
  <si>
    <t>Debtor Days</t>
  </si>
  <si>
    <t>Payable Days</t>
  </si>
  <si>
    <t>Inventory Days</t>
  </si>
  <si>
    <t>Cash Conversion Cycle</t>
  </si>
  <si>
    <t>CFO/Sales</t>
  </si>
  <si>
    <t>CFO/Total Asset</t>
  </si>
  <si>
    <t>CFO/Total Debt</t>
  </si>
  <si>
    <t>TREND</t>
  </si>
  <si>
    <t>MEAN</t>
  </si>
  <si>
    <t>MEDIAN</t>
  </si>
  <si>
    <t>YEAR WEIGHT</t>
  </si>
  <si>
    <t>YEAR</t>
  </si>
  <si>
    <t xml:space="preserve">SALES </t>
  </si>
  <si>
    <t>SUMMARY OUTPUT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</si>
  <si>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</si>
  <si>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</si>
  <si>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</si>
  <si>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</si>
  <si>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</si>
  <si>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</si>
  <si>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</si>
  <si>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</si>
  <si>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</si>
  <si>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</si>
  <si>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</si>
  <si>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</si>
  <si>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</si>
  <si>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</si>
  <si>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</si>
  <si>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</si>
  <si>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</si>
  <si>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</si>
  <si>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</si>
  <si>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</si>
  <si>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</si>
  <si>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</si>
  <si>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COGS GROWTH</t>
  </si>
  <si>
    <t>S&amp;G Exp</t>
  </si>
  <si>
    <t>S&amp;G GROWTH</t>
  </si>
  <si>
    <t>Weighted Average Cost Of Capital</t>
  </si>
  <si>
    <t>All Figures are in INR unless stated otherwise</t>
  </si>
  <si>
    <t>Peer Comps</t>
  </si>
  <si>
    <t>Name of the comp</t>
  </si>
  <si>
    <t>Country</t>
  </si>
  <si>
    <t>Total Debt</t>
  </si>
  <si>
    <t>Total Equity</t>
  </si>
  <si>
    <t>Debt/</t>
  </si>
  <si>
    <t>Equity</t>
  </si>
  <si>
    <t>Capital</t>
  </si>
  <si>
    <t xml:space="preserve">Leverd </t>
  </si>
  <si>
    <t>Unlevered</t>
  </si>
  <si>
    <t>India</t>
  </si>
  <si>
    <t>S.No.</t>
  </si>
  <si>
    <t>Name</t>
  </si>
  <si>
    <t>CMP Rs.</t>
  </si>
  <si>
    <t>Mar Cap Rs.Cr.</t>
  </si>
  <si>
    <t>Debt Rs.Cr.</t>
  </si>
  <si>
    <t>Debt / Eq</t>
  </si>
  <si>
    <t>Maruti Suzuki</t>
  </si>
  <si>
    <t>M &amp; M</t>
  </si>
  <si>
    <t>Hyundai Motor I</t>
  </si>
  <si>
    <t>Tata Motors PVeh</t>
  </si>
  <si>
    <t>Force Motors</t>
  </si>
  <si>
    <t xml:space="preserve">Regression Beta - 2 year weekly </t>
  </si>
  <si>
    <t>Price</t>
  </si>
  <si>
    <t>Date</t>
  </si>
  <si>
    <t>Closing Price</t>
  </si>
  <si>
    <t>Weekly Return</t>
  </si>
  <si>
    <t xml:space="preserve">Maruti Suzuki Weekly Return </t>
  </si>
  <si>
    <t>NIFTY Return</t>
  </si>
  <si>
    <t>Beta 1</t>
  </si>
  <si>
    <t>Beta Drifting</t>
  </si>
  <si>
    <t>Leverd Raw Beta</t>
  </si>
  <si>
    <t>Raw Beta Weight</t>
  </si>
  <si>
    <t>Market Beta</t>
  </si>
  <si>
    <t>Market Beta Weight</t>
  </si>
  <si>
    <t>Adjusted Beta</t>
  </si>
  <si>
    <t xml:space="preserve">Average </t>
  </si>
  <si>
    <t>Median</t>
  </si>
  <si>
    <t>Cost Of Debt</t>
  </si>
  <si>
    <t>Pre-Tax Cost Of Debt</t>
  </si>
  <si>
    <t>Tax Rate</t>
  </si>
  <si>
    <t>Post Tax Cost of Rate</t>
  </si>
  <si>
    <t>Cost Of Equity</t>
  </si>
  <si>
    <t>Risk Free Rate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</si>
  <si>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</si>
  <si>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</si>
  <si>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</si>
  <si>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</si>
  <si>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</si>
  <si>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Total Capital</t>
  </si>
  <si>
    <t>Leverd Beta</t>
  </si>
  <si>
    <t>Comps Median Unleverd Beta</t>
  </si>
  <si>
    <t>Target Debt/Equity</t>
  </si>
  <si>
    <t xml:space="preserve">Leverd Beta </t>
  </si>
  <si>
    <t>Year</t>
  </si>
  <si>
    <t>Annual</t>
  </si>
  <si>
    <t>Average Return</t>
  </si>
  <si>
    <t>Divedend Yield</t>
  </si>
  <si>
    <r>
      <t xml:space="preserve">1.28% </t>
    </r>
    <r>
      <rPr>
        <vertAlign val="superscript"/>
        <sz val="11"/>
        <color theme="1"/>
        <rFont val="Calibri"/>
        <family val="2"/>
        <scheme val="minor"/>
      </rPr>
      <t>1</t>
    </r>
  </si>
  <si>
    <t>Total Market Return</t>
  </si>
  <si>
    <t>Return on Market</t>
  </si>
  <si>
    <t>Weighted Average Cost of Capital</t>
  </si>
  <si>
    <t>Equity Weight</t>
  </si>
  <si>
    <t>Cost of Debt</t>
  </si>
  <si>
    <t>Debt Weight</t>
  </si>
  <si>
    <t>WACC</t>
  </si>
  <si>
    <t>Calculation Of ROIC</t>
  </si>
  <si>
    <t>Current Asset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</si>
  <si>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</si>
  <si>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</si>
  <si>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</si>
  <si>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</si>
  <si>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</si>
  <si>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</si>
  <si>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</si>
  <si>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</si>
  <si>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</si>
  <si>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</si>
  <si>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</si>
  <si>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</si>
  <si>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</si>
  <si>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</si>
  <si>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</si>
  <si>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</si>
  <si>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Computers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</si>
  <si>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</si>
  <si>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</si>
  <si>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</si>
  <si>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</si>
  <si>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</si>
  <si>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</si>
  <si>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</si>
  <si>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</si>
  <si>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</si>
  <si>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</si>
  <si>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</si>
  <si>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</si>
  <si>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</si>
  <si>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</si>
  <si>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 xml:space="preserve">Particulars </t>
  </si>
  <si>
    <t>Total Current Asset</t>
  </si>
  <si>
    <t>Current Liablities</t>
  </si>
  <si>
    <t>Total Currrent Liablity</t>
  </si>
  <si>
    <t>Net Working Capital</t>
  </si>
  <si>
    <t>Fixed Assets</t>
  </si>
  <si>
    <t>Accumlated Depreciation</t>
  </si>
  <si>
    <t>Net Fixed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</si>
  <si>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</si>
  <si>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</si>
  <si>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</si>
  <si>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</si>
  <si>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</si>
  <si>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</si>
  <si>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</si>
  <si>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</si>
  <si>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</si>
  <si>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</si>
  <si>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</si>
  <si>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</si>
  <si>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</si>
  <si>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Instrinsic Growth</t>
  </si>
  <si>
    <t># From Prime Investors site</t>
  </si>
  <si>
    <t>Calculation Of Present Value of FCFF</t>
  </si>
  <si>
    <t>Less: Reinvestment Rate</t>
  </si>
  <si>
    <t>Free Cash Flow to firm(FCFF)</t>
  </si>
  <si>
    <t>Mid Year Convention</t>
  </si>
  <si>
    <t>Discounting Factor</t>
  </si>
  <si>
    <t>PV of FCFF</t>
  </si>
  <si>
    <t>Expected Growth</t>
  </si>
  <si>
    <t>Terminal Growth</t>
  </si>
  <si>
    <t># Taken from RBI website</t>
  </si>
  <si>
    <t xml:space="preserve">  </t>
  </si>
  <si>
    <t>Calculation Of Terminal Value</t>
  </si>
  <si>
    <t>FCFF(N+1)</t>
  </si>
  <si>
    <t>Terminal Growth Rate</t>
  </si>
  <si>
    <t>Terminal Value</t>
  </si>
  <si>
    <t>Calculation Of Equity Value Per share</t>
  </si>
  <si>
    <t>PV of Terminal Value</t>
  </si>
  <si>
    <t>Value of Operating Asset</t>
  </si>
  <si>
    <t>Add: Cash</t>
  </si>
  <si>
    <t>Less: Debt</t>
  </si>
  <si>
    <t xml:space="preserve">Value of Equity </t>
  </si>
  <si>
    <t>No of Shares</t>
  </si>
  <si>
    <t>Equity Value Per Share</t>
  </si>
  <si>
    <t xml:space="preserve"> Share Price</t>
  </si>
  <si>
    <t>Discount/Premium</t>
  </si>
  <si>
    <r>
      <t xml:space="preserve">Tax Rate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</si>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</sst>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&quot;X&quot;"/>
    <numFmt numFmtId="168" formatCode="0&quot;Days&quot;"/>
    <numFmt numFmtId="169" formatCode="yyyy&quot;A&quot;"/>
    <numFmt numFmtId="170" formatCode="yyyy&quot;E&quot;"/>
    <numFmt numFmtId="171" formatCode="#,##0;\(#,##0\);\-"/>
    <numFmt numFmtId="172" formatCode="0.0&quot;x&quot;"/>
    <numFmt numFmtId="173" formatCode="mmm/yy&quot;A&quot;"/>
    <numFmt numFmtId="174" formatCode="mmm/yy&quot;E&quot;"/>
    <numFmt numFmtId="175" formatCode="0.00&quot;x&quot;"/>
    <numFmt numFmtId="176" formatCode="#,##0.00;\(#,##0.00\);\-"/>
    <numFmt numFmtId="177" formatCode="#,##0.00;\(#,##0.00\)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275D8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22222F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 style="dotted">
        <color rgb="FF002060"/>
      </top>
      <bottom style="dotted">
        <color rgb="FF002060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145">
    <xf numFmtId="0" fontId="0" fillId="0" borderId="0" xfId="0"/>
    <xf numFmtId="43" fontId="2" fillId="0" borderId="0" xfId="1" applyFont="1" applyBorder="1"/>
    <xf numFmtId="0" fontId="2" fillId="0" borderId="0" xfId="0" applyFont="1"/>
    <xf numFmtId="43" fontId="0" fillId="0" borderId="0" xfId="1" applyFont="1" applyBorder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3" fillId="4" borderId="0" xfId="0" applyFont="1" applyFill="1"/>
    <xf numFmtId="17" fontId="3" fillId="4" borderId="0" xfId="0" applyNumberFormat="1" applyFont="1" applyFill="1"/>
    <xf numFmtId="0" fontId="0" fillId="5" borderId="0" xfId="0" applyFill="1"/>
    <xf numFmtId="0" fontId="2" fillId="5" borderId="0" xfId="0" applyFont="1" applyFill="1"/>
    <xf numFmtId="0" fontId="8" fillId="0" borderId="0" xfId="0" applyFont="1"/>
    <xf numFmtId="166" fontId="0" fillId="0" borderId="0" xfId="0" applyNumberFormat="1"/>
    <xf numFmtId="10" fontId="0" fillId="0" borderId="0" xfId="4" applyNumberFormat="1" applyFont="1"/>
    <xf numFmtId="0" fontId="8" fillId="6" borderId="0" xfId="0" applyFont="1" applyFill="1"/>
    <xf numFmtId="0" fontId="0" fillId="6" borderId="0" xfId="0" applyFill="1" applyAlignment="1">
      <alignment horizontal="right"/>
    </xf>
    <xf numFmtId="10" fontId="0" fillId="6" borderId="0" xfId="4" applyNumberFormat="1" applyFont="1" applyFill="1"/>
    <xf numFmtId="0" fontId="2" fillId="0" borderId="1" xfId="0" applyFont="1" applyBorder="1"/>
    <xf numFmtId="0" fontId="2" fillId="0" borderId="2" xfId="0" applyFont="1" applyBorder="1"/>
    <xf numFmtId="166" fontId="2" fillId="0" borderId="1" xfId="0" applyNumberFormat="1" applyFont="1" applyBorder="1"/>
    <xf numFmtId="166" fontId="2" fillId="0" borderId="2" xfId="0" applyNumberFormat="1" applyFont="1" applyBorder="1"/>
    <xf numFmtId="0" fontId="2" fillId="0" borderId="3" xfId="0" applyFont="1" applyBorder="1"/>
    <xf numFmtId="166" fontId="2" fillId="0" borderId="3" xfId="0" applyNumberFormat="1" applyFont="1" applyBorder="1"/>
    <xf numFmtId="17" fontId="0" fillId="0" borderId="0" xfId="0" applyNumberFormat="1"/>
    <xf numFmtId="3" fontId="0" fillId="0" borderId="0" xfId="0" applyNumberFormat="1"/>
    <xf numFmtId="166" fontId="2" fillId="0" borderId="0" xfId="0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3" xfId="0" applyBorder="1"/>
    <xf numFmtId="0" fontId="0" fillId="0" borderId="0" xfId="0" applyAlignment="1">
      <alignment horizontal="left"/>
    </xf>
    <xf numFmtId="169" fontId="0" fillId="0" borderId="0" xfId="0" applyNumberFormat="1"/>
    <xf numFmtId="170" fontId="0" fillId="0" borderId="0" xfId="0" applyNumberFormat="1"/>
    <xf numFmtId="0" fontId="0" fillId="0" borderId="4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37" fontId="9" fillId="0" borderId="0" xfId="0" applyNumberFormat="1" applyFont="1"/>
    <xf numFmtId="37" fontId="7" fillId="0" borderId="0" xfId="0" applyNumberFormat="1" applyFont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37" fontId="0" fillId="0" borderId="0" xfId="0" applyNumberFormat="1"/>
    <xf numFmtId="0" fontId="0" fillId="6" borderId="0" xfId="0" applyFill="1"/>
    <xf numFmtId="0" fontId="6" fillId="4" borderId="0" xfId="0" applyFont="1" applyFill="1"/>
    <xf numFmtId="0" fontId="10" fillId="0" borderId="0" xfId="0" applyFont="1"/>
    <xf numFmtId="0" fontId="9" fillId="0" borderId="0" xfId="0" applyFont="1"/>
    <xf numFmtId="0" fontId="2" fillId="0" borderId="6" xfId="0" applyFont="1" applyBorder="1"/>
    <xf numFmtId="0" fontId="0" fillId="0" borderId="6" xfId="0" applyBorder="1"/>
    <xf numFmtId="0" fontId="0" fillId="0" borderId="8" xfId="0" applyBorder="1"/>
    <xf numFmtId="10" fontId="9" fillId="0" borderId="0" xfId="0" applyNumberFormat="1" applyFont="1"/>
    <xf numFmtId="0" fontId="3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12" fillId="7" borderId="7" xfId="0" applyFont="1" applyFill="1" applyBorder="1"/>
    <xf numFmtId="4" fontId="0" fillId="0" borderId="0" xfId="0" applyNumberFormat="1"/>
    <xf numFmtId="14" fontId="0" fillId="0" borderId="0" xfId="0" applyNumberFormat="1" applyAlignment="1">
      <alignment horizontal="left"/>
    </xf>
    <xf numFmtId="0" fontId="2" fillId="0" borderId="6" xfId="0" applyFont="1" applyBorder="1" applyAlignment="1">
      <alignment horizontal="left"/>
    </xf>
    <xf numFmtId="2" fontId="7" fillId="7" borderId="0" xfId="0" applyNumberFormat="1" applyFont="1" applyFill="1"/>
    <xf numFmtId="2" fontId="0" fillId="0" borderId="0" xfId="0" applyNumberFormat="1"/>
    <xf numFmtId="0" fontId="2" fillId="0" borderId="8" xfId="0" applyFont="1" applyBorder="1"/>
    <xf numFmtId="10" fontId="0" fillId="0" borderId="8" xfId="0" applyNumberFormat="1" applyBorder="1"/>
    <xf numFmtId="2" fontId="0" fillId="0" borderId="8" xfId="0" applyNumberFormat="1" applyBorder="1"/>
    <xf numFmtId="10" fontId="0" fillId="0" borderId="6" xfId="0" applyNumberFormat="1" applyBorder="1"/>
    <xf numFmtId="2" fontId="0" fillId="0" borderId="6" xfId="0" applyNumberFormat="1" applyBorder="1"/>
    <xf numFmtId="0" fontId="2" fillId="0" borderId="9" xfId="0" applyFont="1" applyBorder="1"/>
    <xf numFmtId="0" fontId="0" fillId="0" borderId="9" xfId="0" applyBorder="1"/>
    <xf numFmtId="0" fontId="0" fillId="0" borderId="1" xfId="0" applyBorder="1"/>
    <xf numFmtId="10" fontId="2" fillId="0" borderId="1" xfId="4" applyNumberFormat="1" applyFont="1" applyBorder="1"/>
    <xf numFmtId="10" fontId="2" fillId="0" borderId="1" xfId="0" applyNumberFormat="1" applyFont="1" applyBorder="1"/>
    <xf numFmtId="0" fontId="2" fillId="6" borderId="0" xfId="0" applyFont="1" applyFill="1"/>
    <xf numFmtId="10" fontId="2" fillId="6" borderId="0" xfId="0" applyNumberFormat="1" applyFont="1" applyFill="1"/>
    <xf numFmtId="0" fontId="2" fillId="0" borderId="10" xfId="0" applyFont="1" applyBorder="1"/>
    <xf numFmtId="0" fontId="0" fillId="0" borderId="10" xfId="0" applyBorder="1"/>
    <xf numFmtId="10" fontId="2" fillId="0" borderId="9" xfId="0" applyNumberFormat="1" applyFont="1" applyBorder="1"/>
    <xf numFmtId="0" fontId="0" fillId="4" borderId="0" xfId="0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9" fontId="0" fillId="0" borderId="0" xfId="0" applyNumberFormat="1"/>
    <xf numFmtId="0" fontId="2" fillId="0" borderId="12" xfId="0" applyFont="1" applyBorder="1"/>
    <xf numFmtId="0" fontId="2" fillId="6" borderId="12" xfId="0" applyFont="1" applyFill="1" applyBorder="1"/>
    <xf numFmtId="10" fontId="2" fillId="6" borderId="12" xfId="0" applyNumberFormat="1" applyFont="1" applyFill="1" applyBorder="1"/>
    <xf numFmtId="0" fontId="2" fillId="6" borderId="9" xfId="0" applyFont="1" applyFill="1" applyBorder="1"/>
    <xf numFmtId="9" fontId="2" fillId="6" borderId="9" xfId="4" applyFont="1" applyFill="1" applyBorder="1"/>
    <xf numFmtId="10" fontId="2" fillId="6" borderId="9" xfId="0" applyNumberFormat="1" applyFont="1" applyFill="1" applyBorder="1"/>
    <xf numFmtId="0" fontId="2" fillId="6" borderId="11" xfId="0" applyFont="1" applyFill="1" applyBorder="1"/>
    <xf numFmtId="2" fontId="2" fillId="6" borderId="11" xfId="0" applyNumberFormat="1" applyFont="1" applyFill="1" applyBorder="1"/>
    <xf numFmtId="10" fontId="0" fillId="8" borderId="0" xfId="0" applyNumberFormat="1" applyFill="1"/>
    <xf numFmtId="0" fontId="3" fillId="0" borderId="0" xfId="0" applyFont="1"/>
    <xf numFmtId="17" fontId="3" fillId="0" borderId="0" xfId="0" applyNumberFormat="1" applyFont="1"/>
    <xf numFmtId="3" fontId="2" fillId="0" borderId="12" xfId="0" applyNumberFormat="1" applyFont="1" applyBorder="1"/>
    <xf numFmtId="171" fontId="2" fillId="0" borderId="9" xfId="0" applyNumberFormat="1" applyFont="1" applyBorder="1"/>
    <xf numFmtId="171" fontId="0" fillId="0" borderId="9" xfId="0" applyNumberFormat="1" applyBorder="1"/>
    <xf numFmtId="171" fontId="0" fillId="0" borderId="0" xfId="0" applyNumberFormat="1"/>
    <xf numFmtId="171" fontId="0" fillId="0" borderId="1" xfId="0" applyNumberFormat="1" applyBorder="1"/>
    <xf numFmtId="171" fontId="2" fillId="0" borderId="13" xfId="0" applyNumberFormat="1" applyFont="1" applyBorder="1"/>
    <xf numFmtId="171" fontId="2" fillId="0" borderId="0" xfId="0" applyNumberFormat="1" applyFont="1"/>
    <xf numFmtId="171" fontId="2" fillId="0" borderId="14" xfId="0" applyNumberFormat="1" applyFont="1" applyBorder="1"/>
    <xf numFmtId="171" fontId="2" fillId="0" borderId="12" xfId="0" applyNumberFormat="1" applyFont="1" applyBorder="1"/>
    <xf numFmtId="171" fontId="0" fillId="0" borderId="2" xfId="0" applyNumberFormat="1" applyBorder="1"/>
    <xf numFmtId="0" fontId="0" fillId="0" borderId="12" xfId="0" applyBorder="1"/>
    <xf numFmtId="0" fontId="0" fillId="0" borderId="15" xfId="0" applyBorder="1"/>
    <xf numFmtId="171" fontId="0" fillId="0" borderId="15" xfId="0" applyNumberFormat="1" applyBorder="1"/>
    <xf numFmtId="171" fontId="2" fillId="0" borderId="8" xfId="0" applyNumberFormat="1" applyFont="1" applyBorder="1"/>
    <xf numFmtId="0" fontId="0" fillId="0" borderId="16" xfId="0" applyBorder="1"/>
    <xf numFmtId="171" fontId="0" fillId="0" borderId="16" xfId="0" applyNumberFormat="1" applyBorder="1"/>
    <xf numFmtId="10" fontId="2" fillId="0" borderId="12" xfId="4" applyNumberFormat="1" applyFont="1" applyBorder="1"/>
    <xf numFmtId="0" fontId="2" fillId="8" borderId="12" xfId="0" applyFont="1" applyFill="1" applyBorder="1"/>
    <xf numFmtId="0" fontId="0" fillId="8" borderId="12" xfId="0" applyFill="1" applyBorder="1"/>
    <xf numFmtId="10" fontId="2" fillId="8" borderId="12" xfId="4" applyNumberFormat="1" applyFont="1" applyFill="1" applyBorder="1"/>
    <xf numFmtId="0" fontId="0" fillId="8" borderId="0" xfId="0" applyFill="1"/>
    <xf numFmtId="0" fontId="2" fillId="0" borderId="12" xfId="0" applyFont="1" applyBorder="1" applyAlignment="1">
      <alignment horizontal="right"/>
    </xf>
    <xf numFmtId="172" fontId="2" fillId="0" borderId="12" xfId="4" applyNumberFormat="1" applyFont="1" applyBorder="1"/>
    <xf numFmtId="0" fontId="0" fillId="0" borderId="9" xfId="0" applyBorder="1" applyAlignment="1">
      <alignment horizontal="right"/>
    </xf>
    <xf numFmtId="10" fontId="9" fillId="0" borderId="9" xfId="0" applyNumberFormat="1" applyFont="1" applyBorder="1"/>
    <xf numFmtId="3" fontId="0" fillId="0" borderId="9" xfId="0" applyNumberFormat="1" applyBorder="1"/>
    <xf numFmtId="172" fontId="2" fillId="6" borderId="0" xfId="0" applyNumberFormat="1" applyFont="1" applyFill="1"/>
    <xf numFmtId="0" fontId="0" fillId="0" borderId="3" xfId="0" applyBorder="1" applyAlignment="1">
      <alignment horizontal="right"/>
    </xf>
    <xf numFmtId="172" fontId="0" fillId="0" borderId="3" xfId="0" applyNumberFormat="1" applyBorder="1"/>
    <xf numFmtId="10" fontId="2" fillId="6" borderId="0" xfId="4" applyNumberFormat="1" applyFont="1" applyFill="1"/>
    <xf numFmtId="173" fontId="3" fillId="4" borderId="0" xfId="0" applyNumberFormat="1" applyFont="1" applyFill="1"/>
    <xf numFmtId="174" fontId="3" fillId="4" borderId="0" xfId="0" applyNumberFormat="1" applyFont="1" applyFill="1"/>
    <xf numFmtId="10" fontId="0" fillId="0" borderId="3" xfId="0" applyNumberFormat="1" applyBorder="1"/>
    <xf numFmtId="0" fontId="0" fillId="8" borderId="3" xfId="0" applyFill="1" applyBorder="1"/>
    <xf numFmtId="10" fontId="9" fillId="8" borderId="3" xfId="0" applyNumberFormat="1" applyFont="1" applyFill="1" applyBorder="1"/>
    <xf numFmtId="10" fontId="9" fillId="0" borderId="3" xfId="0" applyNumberFormat="1" applyFont="1" applyBorder="1"/>
    <xf numFmtId="2" fontId="2" fillId="6" borderId="0" xfId="4" applyNumberFormat="1" applyFont="1" applyFill="1"/>
    <xf numFmtId="176" fontId="0" fillId="8" borderId="3" xfId="0" applyNumberFormat="1" applyFill="1" applyBorder="1"/>
    <xf numFmtId="176" fontId="0" fillId="0" borderId="3" xfId="0" applyNumberFormat="1" applyBorder="1"/>
    <xf numFmtId="177" fontId="0" fillId="8" borderId="3" xfId="0" applyNumberFormat="1" applyFill="1" applyBorder="1"/>
    <xf numFmtId="177" fontId="0" fillId="0" borderId="3" xfId="0" applyNumberFormat="1" applyBorder="1"/>
    <xf numFmtId="177" fontId="0" fillId="0" borderId="0" xfId="0" applyNumberFormat="1"/>
    <xf numFmtId="177" fontId="2" fillId="0" borderId="12" xfId="0" applyNumberFormat="1" applyFont="1" applyBorder="1"/>
    <xf numFmtId="176" fontId="2" fillId="8" borderId="12" xfId="0" applyNumberFormat="1" applyFont="1" applyFill="1" applyBorder="1"/>
    <xf numFmtId="176" fontId="0" fillId="0" borderId="0" xfId="0" applyNumberFormat="1"/>
    <xf numFmtId="176" fontId="0" fillId="0" borderId="12" xfId="0" applyNumberFormat="1" applyBorder="1"/>
    <xf numFmtId="176" fontId="13" fillId="6" borderId="0" xfId="0" applyNumberFormat="1" applyFont="1" applyFill="1"/>
    <xf numFmtId="175" fontId="2" fillId="6" borderId="0" xfId="4" applyNumberFormat="1" applyFont="1" applyFill="1"/>
    <xf numFmtId="43" fontId="0" fillId="0" borderId="0" xfId="0" applyNumberFormat="1" applyAlignment="1">
      <alignment horizontal="left"/>
    </xf>
    <xf numFmtId="2" fontId="0" fillId="8" borderId="0" xfId="0" applyNumberFormat="1" applyFill="1"/>
    <xf numFmtId="0" fontId="3" fillId="4" borderId="0" xfId="0" applyFont="1" applyFill="1" applyAlignment="1">
      <alignment horizontal="center"/>
    </xf>
    <xf numFmtId="43" fontId="2" fillId="0" borderId="0" xfId="0" quotePrefix="1" applyNumberFormat="1" applyFont="1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</cellXfs>
  <cellStyles count="6">
    <cellStyle name="Accent6" xfId="3" builtinId="49"/>
    <cellStyle name="Comma" xfId="1" builtinId="3"/>
    <cellStyle name="Hyperlink" xfId="2" builtinId="8"/>
    <cellStyle name="Normal" xfId="0" builtinId="0"/>
    <cellStyle name="Normal 2" xfId="5" xr:uid="{E35DC57D-9C8C-45AC-A4E0-572719CA0BCC}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8534912980449"/>
          <c:y val="7.2955292897188009E-2"/>
          <c:w val="0.69847711083668795"/>
          <c:h val="0.6479214489618740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FORECASTING!$C$5:$C$14</c:f>
              <c:numCache>
                <c:formatCode>yyyy"A"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</c:numCache>
            </c:numRef>
          </c:xVal>
          <c:yVal>
            <c:numRef>
              <c:f>FORECASTING!$D$5:$D$14</c:f>
              <c:numCache>
                <c:formatCode>#,##0_);\(#,##0\)</c:formatCode>
                <c:ptCount val="10"/>
                <c:pt idx="0">
                  <c:v>57589</c:v>
                </c:pt>
                <c:pt idx="1">
                  <c:v>68085</c:v>
                </c:pt>
                <c:pt idx="2">
                  <c:v>79809.399999999994</c:v>
                </c:pt>
                <c:pt idx="3">
                  <c:v>86068.5</c:v>
                </c:pt>
                <c:pt idx="4">
                  <c:v>75660</c:v>
                </c:pt>
                <c:pt idx="5">
                  <c:v>70372</c:v>
                </c:pt>
                <c:pt idx="6">
                  <c:v>88329.8</c:v>
                </c:pt>
                <c:pt idx="7">
                  <c:v>117571.3</c:v>
                </c:pt>
                <c:pt idx="8">
                  <c:v>141858.20000000001</c:v>
                </c:pt>
                <c:pt idx="9">
                  <c:v>152913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6-46DF-8749-34DA14726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505567"/>
        <c:axId val="1580504607"/>
      </c:scatterChart>
      <c:valAx>
        <c:axId val="158050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4607"/>
        <c:crosses val="autoZero"/>
        <c:crossBetween val="midCat"/>
      </c:valAx>
      <c:valAx>
        <c:axId val="15805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257772</xdr:colOff>
      <xdr:row>22</xdr:row>
      <xdr:rowOff>62872</xdr:rowOff>
    </xdr:from>
    <xdr:to>
      <xdr:col>5</xdr:col>
      <xdr:colOff>821129</xdr:colOff>
      <xdr:row>27</xdr:row>
      <xdr:rowOff>140310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D28D8-0881-9D7F-5A2C-44CE5C1FB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E7F1-F7AA-453E-9E0A-51A5E99BFCA4}">
  <sheetPr>
    <tabColor theme="0"/>
  </sheetPr>
  <dimension ref="A1"/>
  <sheetViews>
    <sheetView showGridLines="0" topLeftCell="N1" workbookViewId="0">
      <selection activeCell="T11" sqref="T11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85A7-5120-4FD6-BE50-67657466B0FC}">
  <sheetPr>
    <tabColor theme="1"/>
  </sheetPr>
  <dimension ref="A2:M100"/>
  <sheetViews>
    <sheetView showGridLines="0" tabSelected="1" zoomScale="77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defaultRowHeight="14.5" x14ac:dyDescent="0.35"/>
  <cols>
    <col min="1" max="1" width="1.81640625" customWidth="1"/>
    <col min="2" max="2" width="37.453125" bestFit="1" customWidth="1"/>
    <col min="3" max="9" width="10.54296875" bestFit="1" customWidth="1"/>
    <col min="10" max="10" width="13.08984375" bestFit="1" customWidth="1"/>
    <col min="11" max="11" width="13.81640625" bestFit="1" customWidth="1"/>
    <col min="12" max="12" width="14" bestFit="1" customWidth="1"/>
    <col min="13" max="13" width="11.1796875" bestFit="1" customWidth="1"/>
  </cols>
  <sheetData>
    <row r="2" spans="1:13" x14ac:dyDescent="0.35">
      <c r="A2" s="2"/>
      <c r="B2" s="141" t="str">
        <f>"HISTORICAL FINANCIAL STATEMENT - "&amp;'Data Sheet'!B1</f>
        <v>HISTORICAL FINANCIAL STATEMENT - MARUTI SUZUKI INDIA LTD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1:13" x14ac:dyDescent="0.35">
      <c r="A3" s="2"/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56</v>
      </c>
    </row>
    <row r="4" spans="1:13" s="11" customFormat="1" x14ac:dyDescent="0.35">
      <c r="A4" s="11" t="s">
        <v>57</v>
      </c>
      <c r="B4" s="12" t="s">
        <v>85</v>
      </c>
    </row>
    <row r="5" spans="1:13" x14ac:dyDescent="0.35">
      <c r="B5" t="s">
        <v>58</v>
      </c>
      <c r="C5" s="14">
        <f>IFERROR('Data Sheet'!B17,0)</f>
        <v>57589</v>
      </c>
      <c r="D5" s="14">
        <f>IFERROR('Data Sheet'!C17,0)</f>
        <v>68085</v>
      </c>
      <c r="E5" s="14">
        <f>IFERROR('Data Sheet'!D17,0)</f>
        <v>79809.399999999994</v>
      </c>
      <c r="F5" s="14">
        <f>IFERROR('Data Sheet'!E17,0)</f>
        <v>86068.5</v>
      </c>
      <c r="G5" s="14">
        <f>IFERROR('Data Sheet'!F17,0)</f>
        <v>75660</v>
      </c>
      <c r="H5" s="14">
        <f>IFERROR('Data Sheet'!G17,0)</f>
        <v>70372</v>
      </c>
      <c r="I5" s="14">
        <f>IFERROR('Data Sheet'!H17,0)</f>
        <v>88329.8</v>
      </c>
      <c r="J5" s="14">
        <f>IFERROR('Data Sheet'!I17,0)</f>
        <v>117571.3</v>
      </c>
      <c r="K5" s="14">
        <f>IFERROR('Data Sheet'!J17,0)</f>
        <v>141858.20000000001</v>
      </c>
      <c r="L5" s="14">
        <f>IFERROR('Data Sheet'!K17,0)</f>
        <v>152913</v>
      </c>
      <c r="M5" s="14">
        <f>IFERROR(SUM('Data Sheet'!H42:K42),0)</f>
        <v>171773.59999999998</v>
      </c>
    </row>
    <row r="6" spans="1:13" x14ac:dyDescent="0.35">
      <c r="B6" s="16" t="s">
        <v>59</v>
      </c>
      <c r="C6" s="17" t="s">
        <v>83</v>
      </c>
      <c r="D6" s="18">
        <f>D5/C5-1</f>
        <v>0.18225702825192314</v>
      </c>
      <c r="E6" s="18">
        <f t="shared" ref="E6:M6" si="0">E5/D5-1</f>
        <v>0.17220239406624072</v>
      </c>
      <c r="F6" s="18">
        <f t="shared" si="0"/>
        <v>7.8425598989592782E-2</v>
      </c>
      <c r="G6" s="18">
        <f t="shared" si="0"/>
        <v>-0.12093274542951249</v>
      </c>
      <c r="H6" s="18">
        <f t="shared" si="0"/>
        <v>-6.9891620407084298E-2</v>
      </c>
      <c r="I6" s="18">
        <f t="shared" si="0"/>
        <v>0.25518387995225389</v>
      </c>
      <c r="J6" s="18">
        <f t="shared" si="0"/>
        <v>0.3310490910202446</v>
      </c>
      <c r="K6" s="18">
        <f t="shared" si="0"/>
        <v>0.20657167182807368</v>
      </c>
      <c r="L6" s="18">
        <f t="shared" si="0"/>
        <v>7.7928522989858751E-2</v>
      </c>
      <c r="M6" s="18">
        <f t="shared" si="0"/>
        <v>0.12334203108957364</v>
      </c>
    </row>
    <row r="8" spans="1:13" x14ac:dyDescent="0.35">
      <c r="B8" t="s">
        <v>60</v>
      </c>
      <c r="C8" s="14">
        <f>IFERROR(SUM('Data Sheet'!B18,'Data Sheet'!B20:B22)-1*'Data Sheet'!B19,0)</f>
        <v>41828.200000000004</v>
      </c>
      <c r="D8" s="14">
        <f>IFERROR(SUM('Data Sheet'!C18,'Data Sheet'!C20:C22)-1*'Data Sheet'!C19,0)</f>
        <v>50004</v>
      </c>
      <c r="E8" s="14">
        <f>IFERROR(SUM('Data Sheet'!D18,'Data Sheet'!D20:D22)-1*'Data Sheet'!D19,0)</f>
        <v>58985.000000000007</v>
      </c>
      <c r="F8" s="14">
        <f>IFERROR(SUM('Data Sheet'!E18,'Data Sheet'!E20:E22)-1*'Data Sheet'!E19,0)</f>
        <v>64182.2</v>
      </c>
      <c r="G8" s="14">
        <f>IFERROR(SUM('Data Sheet'!F18,'Data Sheet'!F20:F22)-1*'Data Sheet'!F19,0)</f>
        <v>57657.1</v>
      </c>
      <c r="H8" s="14">
        <f>IFERROR(SUM('Data Sheet'!G18,'Data Sheet'!G20:G22)-1*'Data Sheet'!G19,0)</f>
        <v>55415.6</v>
      </c>
      <c r="I8" s="14">
        <f>IFERROR(SUM('Data Sheet'!H18,'Data Sheet'!H20:H22)-1*'Data Sheet'!H19,0)</f>
        <v>71578.799999999988</v>
      </c>
      <c r="J8" s="14">
        <f>IFERROR(SUM('Data Sheet'!I18,'Data Sheet'!I20:I22)-1*'Data Sheet'!I19,0)</f>
        <v>92796.1</v>
      </c>
      <c r="K8" s="14">
        <f>IFERROR(SUM('Data Sheet'!J18,'Data Sheet'!J20:J22)-1*'Data Sheet'!J19,0)</f>
        <v>108015.2</v>
      </c>
      <c r="L8" s="14">
        <f>IFERROR(SUM('Data Sheet'!K18,'Data Sheet'!K20:K22)-1*'Data Sheet'!K19,0)</f>
        <v>117563.8</v>
      </c>
      <c r="M8" s="14">
        <f>IFERROR(SUM('Data Sheet'!H43:K43),0)</f>
        <v>151647.9</v>
      </c>
    </row>
    <row r="9" spans="1:13" x14ac:dyDescent="0.35">
      <c r="B9" s="13" t="s">
        <v>61</v>
      </c>
      <c r="C9" s="15">
        <f>C8/C5</f>
        <v>0.72632273524457802</v>
      </c>
      <c r="D9" s="15">
        <f t="shared" ref="D9:M9" si="1">D8/D5</f>
        <v>0.7344348975545274</v>
      </c>
      <c r="E9" s="15">
        <f t="shared" si="1"/>
        <v>0.7390733422378819</v>
      </c>
      <c r="F9" s="15">
        <f t="shared" si="1"/>
        <v>0.74571068393198436</v>
      </c>
      <c r="G9" s="15">
        <f t="shared" si="1"/>
        <v>0.76205524715833994</v>
      </c>
      <c r="H9" s="15">
        <f t="shared" si="1"/>
        <v>0.78746660603649177</v>
      </c>
      <c r="I9" s="15">
        <f t="shared" si="1"/>
        <v>0.81035845207393187</v>
      </c>
      <c r="J9" s="15">
        <f t="shared" si="1"/>
        <v>0.78927510370302956</v>
      </c>
      <c r="K9" s="15">
        <f t="shared" si="1"/>
        <v>0.76143078087837002</v>
      </c>
      <c r="L9" s="15">
        <f t="shared" si="1"/>
        <v>0.76882802639409342</v>
      </c>
      <c r="M9" s="15">
        <f t="shared" si="1"/>
        <v>0.88283589562074738</v>
      </c>
    </row>
    <row r="11" spans="1:13" x14ac:dyDescent="0.35">
      <c r="B11" s="19" t="s">
        <v>62</v>
      </c>
      <c r="C11" s="21">
        <f>IFERROR(C5-C8,0)</f>
        <v>15760.799999999996</v>
      </c>
      <c r="D11" s="21">
        <f t="shared" ref="D11:L11" si="2">IFERROR(D5-D8,0)</f>
        <v>18081</v>
      </c>
      <c r="E11" s="21">
        <f t="shared" si="2"/>
        <v>20824.399999999987</v>
      </c>
      <c r="F11" s="21">
        <f t="shared" si="2"/>
        <v>21886.300000000003</v>
      </c>
      <c r="G11" s="21">
        <f t="shared" si="2"/>
        <v>18002.900000000001</v>
      </c>
      <c r="H11" s="21">
        <f t="shared" si="2"/>
        <v>14956.400000000001</v>
      </c>
      <c r="I11" s="21">
        <f t="shared" si="2"/>
        <v>16751.000000000015</v>
      </c>
      <c r="J11" s="21">
        <f t="shared" si="2"/>
        <v>24775.199999999997</v>
      </c>
      <c r="K11" s="21">
        <f t="shared" si="2"/>
        <v>33843.000000000015</v>
      </c>
      <c r="L11" s="21">
        <f t="shared" si="2"/>
        <v>35349.199999999997</v>
      </c>
      <c r="M11" s="21">
        <f>IFERROR(M5-M8,0)</f>
        <v>20125.699999999983</v>
      </c>
    </row>
    <row r="12" spans="1:13" x14ac:dyDescent="0.35">
      <c r="B12" s="16" t="s">
        <v>63</v>
      </c>
      <c r="C12" s="18">
        <f>IFERROR(C11/C5,0)</f>
        <v>0.27367726475542198</v>
      </c>
      <c r="D12" s="18">
        <f t="shared" ref="D12:M12" si="3">IFERROR(D11/D5,0)</f>
        <v>0.26556510244547255</v>
      </c>
      <c r="E12" s="18">
        <f t="shared" si="3"/>
        <v>0.2609266577621181</v>
      </c>
      <c r="F12" s="18">
        <f t="shared" si="3"/>
        <v>0.25428931606801564</v>
      </c>
      <c r="G12" s="18">
        <f t="shared" si="3"/>
        <v>0.23794475284166008</v>
      </c>
      <c r="H12" s="18">
        <f t="shared" si="3"/>
        <v>0.21253339396350823</v>
      </c>
      <c r="I12" s="18">
        <f t="shared" si="3"/>
        <v>0.18964154792606813</v>
      </c>
      <c r="J12" s="18">
        <f t="shared" si="3"/>
        <v>0.21072489629697042</v>
      </c>
      <c r="K12" s="18">
        <f t="shared" si="3"/>
        <v>0.23856921912162998</v>
      </c>
      <c r="L12" s="18">
        <f t="shared" si="3"/>
        <v>0.23117197360590661</v>
      </c>
      <c r="M12" s="18">
        <f t="shared" si="3"/>
        <v>0.11716410437925261</v>
      </c>
    </row>
    <row r="14" spans="1:13" x14ac:dyDescent="0.35">
      <c r="B14" t="s">
        <v>64</v>
      </c>
      <c r="C14" s="14">
        <f>IFERROR(SUM('Data Sheet'!B23,'Data Sheet'!B24),0)</f>
        <v>6736.7000000000007</v>
      </c>
      <c r="D14" s="14">
        <f>IFERROR(SUM('Data Sheet'!C23,'Data Sheet'!C24),0)</f>
        <v>7659.7000000000007</v>
      </c>
      <c r="E14" s="14">
        <f>IFERROR(SUM('Data Sheet'!D23,'Data Sheet'!D24),0)</f>
        <v>8706.5</v>
      </c>
      <c r="F14" s="14">
        <f>IFERROR(SUM('Data Sheet'!E23,'Data Sheet'!E24),0)</f>
        <v>10830</v>
      </c>
      <c r="G14" s="14">
        <f>IFERROR(SUM('Data Sheet'!F23,'Data Sheet'!F24),0)</f>
        <v>10647.9</v>
      </c>
      <c r="H14" s="14">
        <f>IFERROR(SUM('Data Sheet'!G23,'Data Sheet'!G24),0)</f>
        <v>9545.7999999999993</v>
      </c>
      <c r="I14" s="14">
        <f>IFERROR(SUM('Data Sheet'!H23,'Data Sheet'!H24),0)</f>
        <v>10999</v>
      </c>
      <c r="J14" s="14">
        <f>IFERROR(SUM('Data Sheet'!I23,'Data Sheet'!I24),0)</f>
        <v>13746</v>
      </c>
      <c r="K14" s="14">
        <f>IFERROR(SUM('Data Sheet'!J23,'Data Sheet'!J24),0)</f>
        <v>15216.7</v>
      </c>
      <c r="L14" s="14">
        <f>IFERROR(SUM('Data Sheet'!K23,'Data Sheet'!K24),0)</f>
        <v>15125.599999999999</v>
      </c>
    </row>
    <row r="15" spans="1:13" x14ac:dyDescent="0.35">
      <c r="B15" s="16" t="s">
        <v>65</v>
      </c>
      <c r="C15" s="18">
        <f>IFERROR(C14/C5,0)</f>
        <v>0.11697893694976473</v>
      </c>
      <c r="D15" s="18">
        <f t="shared" ref="D15:M15" si="4">IFERROR(D14/D5,0)</f>
        <v>0.11250201953440553</v>
      </c>
      <c r="E15" s="18">
        <f t="shared" si="4"/>
        <v>0.10909115968795656</v>
      </c>
      <c r="F15" s="18">
        <f t="shared" si="4"/>
        <v>0.12583000749403092</v>
      </c>
      <c r="G15" s="18">
        <f t="shared" si="4"/>
        <v>0.14073354480570974</v>
      </c>
      <c r="H15" s="18">
        <f t="shared" si="4"/>
        <v>0.13564770079008695</v>
      </c>
      <c r="I15" s="18">
        <f t="shared" si="4"/>
        <v>0.12452196201055589</v>
      </c>
      <c r="J15" s="18">
        <f t="shared" si="4"/>
        <v>0.1169162882438146</v>
      </c>
      <c r="K15" s="18">
        <f t="shared" si="4"/>
        <v>0.10726697504973276</v>
      </c>
      <c r="L15" s="18">
        <f t="shared" si="4"/>
        <v>9.8916377286430837E-2</v>
      </c>
      <c r="M15" s="18">
        <f t="shared" si="4"/>
        <v>0</v>
      </c>
    </row>
    <row r="17" spans="2:13" x14ac:dyDescent="0.35">
      <c r="B17" s="19" t="s">
        <v>66</v>
      </c>
      <c r="C17" s="21">
        <f>IFERROR(C5-C8-C14,0)</f>
        <v>9024.0999999999949</v>
      </c>
      <c r="D17" s="21">
        <f t="shared" ref="D17:L17" si="5">IFERROR(D5-D8-D14,0)</f>
        <v>10421.299999999999</v>
      </c>
      <c r="E17" s="21">
        <f t="shared" si="5"/>
        <v>12117.899999999987</v>
      </c>
      <c r="F17" s="21">
        <f t="shared" si="5"/>
        <v>11056.300000000003</v>
      </c>
      <c r="G17" s="21">
        <f t="shared" si="5"/>
        <v>7355.0000000000018</v>
      </c>
      <c r="H17" s="21">
        <f t="shared" si="5"/>
        <v>5410.6000000000022</v>
      </c>
      <c r="I17" s="21">
        <f t="shared" si="5"/>
        <v>5752.0000000000146</v>
      </c>
      <c r="J17" s="21">
        <f t="shared" si="5"/>
        <v>11029.199999999997</v>
      </c>
      <c r="K17" s="21">
        <f t="shared" si="5"/>
        <v>18626.300000000014</v>
      </c>
      <c r="L17" s="21">
        <f t="shared" si="5"/>
        <v>20223.599999999999</v>
      </c>
      <c r="M17" s="21">
        <f>IFERROR(M5-M8-M14,0)</f>
        <v>20125.699999999983</v>
      </c>
    </row>
    <row r="18" spans="2:13" x14ac:dyDescent="0.35">
      <c r="B18" s="16" t="s">
        <v>67</v>
      </c>
      <c r="C18" s="18">
        <f>IFERROR(C17/C5,0)</f>
        <v>0.15669832780565723</v>
      </c>
      <c r="D18" s="18">
        <f t="shared" ref="D18:M18" si="6">IFERROR(D17/D5,0)</f>
        <v>0.15306308291106704</v>
      </c>
      <c r="E18" s="18">
        <f t="shared" si="6"/>
        <v>0.15183549807416152</v>
      </c>
      <c r="F18" s="18">
        <f t="shared" si="6"/>
        <v>0.12845930857398472</v>
      </c>
      <c r="G18" s="18">
        <f t="shared" si="6"/>
        <v>9.7211208035950333E-2</v>
      </c>
      <c r="H18" s="18">
        <f t="shared" si="6"/>
        <v>7.6885693173421282E-2</v>
      </c>
      <c r="I18" s="18">
        <f t="shared" si="6"/>
        <v>6.5119585915512257E-2</v>
      </c>
      <c r="J18" s="18">
        <f t="shared" si="6"/>
        <v>9.3808608053155801E-2</v>
      </c>
      <c r="K18" s="18">
        <f t="shared" si="6"/>
        <v>0.13130224407189722</v>
      </c>
      <c r="L18" s="18">
        <f t="shared" si="6"/>
        <v>0.13225559631947578</v>
      </c>
      <c r="M18" s="18">
        <f t="shared" si="6"/>
        <v>0.11716410437925261</v>
      </c>
    </row>
    <row r="20" spans="2:13" x14ac:dyDescent="0.35">
      <c r="B20" t="s">
        <v>68</v>
      </c>
      <c r="C20" s="14">
        <f>IFERROR('Data Sheet'!B27,0)</f>
        <v>81.7</v>
      </c>
      <c r="D20" s="14">
        <f>IFERROR('Data Sheet'!C27,0)</f>
        <v>89.4</v>
      </c>
      <c r="E20" s="14">
        <f>IFERROR('Data Sheet'!D27,0)</f>
        <v>345.8</v>
      </c>
      <c r="F20" s="14">
        <f>IFERROR('Data Sheet'!E27,0)</f>
        <v>75.900000000000006</v>
      </c>
      <c r="G20" s="14">
        <f>IFERROR('Data Sheet'!F27,0)</f>
        <v>134.19999999999999</v>
      </c>
      <c r="H20" s="14">
        <f>IFERROR('Data Sheet'!G27,0)</f>
        <v>101.8</v>
      </c>
      <c r="I20" s="14">
        <f>IFERROR('Data Sheet'!H27,0)</f>
        <v>126.6</v>
      </c>
      <c r="J20" s="14">
        <f>IFERROR('Data Sheet'!I27,0)</f>
        <v>187</v>
      </c>
      <c r="K20" s="14">
        <f>IFERROR('Data Sheet'!J27,0)</f>
        <v>193.6</v>
      </c>
      <c r="L20" s="14">
        <f>IFERROR('Data Sheet'!K27,0)</f>
        <v>194.2</v>
      </c>
      <c r="M20" s="14">
        <f>IFERROR(SUM('Data Sheet'!H46:K46),0)</f>
        <v>213.3</v>
      </c>
    </row>
    <row r="21" spans="2:13" x14ac:dyDescent="0.35">
      <c r="B21" s="16" t="s">
        <v>69</v>
      </c>
      <c r="C21" s="18">
        <f>IFERROR(C20/C5,0)</f>
        <v>1.418673705047839E-3</v>
      </c>
      <c r="D21" s="18">
        <f t="shared" ref="D21:M21" si="7">IFERROR(D20/D5,0)</f>
        <v>1.313064551663362E-3</v>
      </c>
      <c r="E21" s="18">
        <f t="shared" si="7"/>
        <v>4.3328229506799957E-3</v>
      </c>
      <c r="F21" s="18">
        <f t="shared" si="7"/>
        <v>8.8185573119085381E-4</v>
      </c>
      <c r="G21" s="18">
        <f t="shared" si="7"/>
        <v>1.7737245572297118E-3</v>
      </c>
      <c r="H21" s="18">
        <f t="shared" si="7"/>
        <v>1.4465980787813333E-3</v>
      </c>
      <c r="I21" s="18">
        <f t="shared" si="7"/>
        <v>1.4332648777649218E-3</v>
      </c>
      <c r="J21" s="18">
        <f t="shared" si="7"/>
        <v>1.5905242180702262E-3</v>
      </c>
      <c r="K21" s="18">
        <f t="shared" si="7"/>
        <v>1.3647431026193762E-3</v>
      </c>
      <c r="L21" s="18">
        <f t="shared" si="7"/>
        <v>1.2700032044365096E-3</v>
      </c>
      <c r="M21" s="18">
        <f t="shared" si="7"/>
        <v>1.241750769617683E-3</v>
      </c>
    </row>
    <row r="23" spans="2:13" x14ac:dyDescent="0.35">
      <c r="B23" t="s">
        <v>70</v>
      </c>
      <c r="C23" s="14">
        <f>IFERROR('Data Sheet'!C26,0)</f>
        <v>2603.9</v>
      </c>
      <c r="D23" s="14">
        <f>IFERROR('Data Sheet'!D26,0)</f>
        <v>2759.8</v>
      </c>
      <c r="E23" s="14">
        <f>IFERROR('Data Sheet'!E26,0)</f>
        <v>3020.8</v>
      </c>
      <c r="F23" s="14">
        <f>IFERROR('Data Sheet'!F26,0)</f>
        <v>3528.4</v>
      </c>
      <c r="G23" s="14">
        <f>IFERROR('Data Sheet'!G26,0)</f>
        <v>3034.1</v>
      </c>
      <c r="H23" s="14">
        <f>IFERROR('Data Sheet'!H26,0)</f>
        <v>2789</v>
      </c>
      <c r="I23" s="14">
        <f>IFERROR('Data Sheet'!I26,0)</f>
        <v>2825.7</v>
      </c>
      <c r="J23" s="14">
        <f>IFERROR('Data Sheet'!J26,0)</f>
        <v>5255.8</v>
      </c>
      <c r="K23" s="14">
        <f>IFERROR('Data Sheet'!K26,0)</f>
        <v>5608.2</v>
      </c>
      <c r="L23" s="14">
        <f>IFERROR('Data Sheet'!L26,0)</f>
        <v>0</v>
      </c>
      <c r="M23" s="14">
        <f>IFERROR(SUM('Data Sheet'!H45:K45),0)</f>
        <v>6455.4</v>
      </c>
    </row>
    <row r="24" spans="2:13" x14ac:dyDescent="0.35">
      <c r="B24" s="16" t="s">
        <v>71</v>
      </c>
      <c r="C24" s="18">
        <f>IFERROR(C23/C5,0)</f>
        <v>4.5215232075569989E-2</v>
      </c>
      <c r="D24" s="18">
        <f t="shared" ref="D24:M24" si="8">IFERROR(D23/D5,0)</f>
        <v>4.0534625835352868E-2</v>
      </c>
      <c r="E24" s="18">
        <f t="shared" si="8"/>
        <v>3.7850178049202231E-2</v>
      </c>
      <c r="F24" s="18">
        <f t="shared" si="8"/>
        <v>4.0995253780419086E-2</v>
      </c>
      <c r="G24" s="18">
        <f t="shared" si="8"/>
        <v>4.0101771081152524E-2</v>
      </c>
      <c r="H24" s="18">
        <f t="shared" si="8"/>
        <v>3.9632240095492523E-2</v>
      </c>
      <c r="I24" s="18">
        <f t="shared" si="8"/>
        <v>3.1990336217222269E-2</v>
      </c>
      <c r="J24" s="18">
        <f t="shared" si="8"/>
        <v>4.4703086552585536E-2</v>
      </c>
      <c r="K24" s="18">
        <f t="shared" si="8"/>
        <v>3.9533844360072234E-2</v>
      </c>
      <c r="L24" s="18">
        <f t="shared" si="8"/>
        <v>0</v>
      </c>
      <c r="M24" s="18">
        <f t="shared" si="8"/>
        <v>3.7580862251242339E-2</v>
      </c>
    </row>
    <row r="26" spans="2:13" x14ac:dyDescent="0.35">
      <c r="B26" s="20" t="s">
        <v>72</v>
      </c>
      <c r="C26" s="22">
        <f>IFERROR(C17-C23,0)</f>
        <v>6420.1999999999953</v>
      </c>
      <c r="D26" s="22">
        <f t="shared" ref="D26:M26" si="9">IFERROR(D17-D23,0)</f>
        <v>7661.4999999999991</v>
      </c>
      <c r="E26" s="22">
        <f t="shared" si="9"/>
        <v>9097.0999999999876</v>
      </c>
      <c r="F26" s="22">
        <f t="shared" si="9"/>
        <v>7527.9000000000033</v>
      </c>
      <c r="G26" s="22">
        <f t="shared" si="9"/>
        <v>4320.9000000000015</v>
      </c>
      <c r="H26" s="22">
        <f t="shared" si="9"/>
        <v>2621.6000000000022</v>
      </c>
      <c r="I26" s="22">
        <f t="shared" si="9"/>
        <v>2926.3000000000147</v>
      </c>
      <c r="J26" s="22">
        <f t="shared" si="9"/>
        <v>5773.3999999999969</v>
      </c>
      <c r="K26" s="22">
        <f t="shared" si="9"/>
        <v>13018.100000000013</v>
      </c>
      <c r="L26" s="22">
        <f t="shared" si="9"/>
        <v>20223.599999999999</v>
      </c>
      <c r="M26" s="22">
        <f t="shared" si="9"/>
        <v>13670.299999999983</v>
      </c>
    </row>
    <row r="27" spans="2:13" x14ac:dyDescent="0.35">
      <c r="B27" s="16" t="s">
        <v>73</v>
      </c>
      <c r="C27" s="18">
        <f>IFERROR(C26/C5,0)</f>
        <v>0.11148309573008726</v>
      </c>
      <c r="D27" s="18">
        <f t="shared" ref="D27:M27" si="10">IFERROR(D26/D5,0)</f>
        <v>0.11252845707571417</v>
      </c>
      <c r="E27" s="18">
        <f t="shared" si="10"/>
        <v>0.11398532002495931</v>
      </c>
      <c r="F27" s="18">
        <f t="shared" si="10"/>
        <v>8.7464054793565629E-2</v>
      </c>
      <c r="G27" s="18">
        <f t="shared" si="10"/>
        <v>5.7109436954797796E-2</v>
      </c>
      <c r="H27" s="18">
        <f t="shared" si="10"/>
        <v>3.7253453077928753E-2</v>
      </c>
      <c r="I27" s="18">
        <f t="shared" si="10"/>
        <v>3.3129249698289981E-2</v>
      </c>
      <c r="J27" s="18">
        <f t="shared" si="10"/>
        <v>4.9105521500570265E-2</v>
      </c>
      <c r="K27" s="18">
        <f t="shared" si="10"/>
        <v>9.1768399711824988E-2</v>
      </c>
      <c r="L27" s="18">
        <f t="shared" si="10"/>
        <v>0.13225559631947578</v>
      </c>
      <c r="M27" s="18">
        <f t="shared" si="10"/>
        <v>7.9583242128010268E-2</v>
      </c>
    </row>
    <row r="29" spans="2:13" x14ac:dyDescent="0.35">
      <c r="B29" t="s">
        <v>74</v>
      </c>
      <c r="C29" s="14">
        <f>IFERROR('Data Sheet'!B29,0)</f>
        <v>2087.5</v>
      </c>
      <c r="D29" s="14">
        <f>IFERROR('Data Sheet'!C29,0)</f>
        <v>2616.1999999999998</v>
      </c>
      <c r="E29" s="14">
        <f>IFERROR('Data Sheet'!D29,0)</f>
        <v>3286.2</v>
      </c>
      <c r="F29" s="14">
        <f>IFERROR('Data Sheet'!E29,0)</f>
        <v>2973.2</v>
      </c>
      <c r="G29" s="14">
        <f>IFERROR('Data Sheet'!F29,0)</f>
        <v>1425.2</v>
      </c>
      <c r="H29" s="14">
        <f>IFERROR('Data Sheet'!G29,0)</f>
        <v>931.9</v>
      </c>
      <c r="I29" s="14">
        <f>IFERROR('Data Sheet'!H29,0)</f>
        <v>817.7</v>
      </c>
      <c r="J29" s="14">
        <f>IFERROR('Data Sheet'!I29,0)</f>
        <v>2112.1</v>
      </c>
      <c r="K29" s="14">
        <f>IFERROR('Data Sheet'!J29,0)</f>
        <v>3936.3</v>
      </c>
      <c r="L29" s="14">
        <f>IFERROR('Data Sheet'!K29,0)</f>
        <v>5119.8</v>
      </c>
      <c r="M29" s="14">
        <f>IFERROR(SUM('Data Sheet'!H48:K48),0)</f>
        <v>4186.2</v>
      </c>
    </row>
    <row r="30" spans="2:13" x14ac:dyDescent="0.35">
      <c r="B30" s="16" t="s">
        <v>75</v>
      </c>
      <c r="C30" s="18">
        <f>IFERROR(C29/C26,0)</f>
        <v>0.32514563409239611</v>
      </c>
      <c r="D30" s="18">
        <f t="shared" ref="D30:M30" si="11">IFERROR(D29/D26,0)</f>
        <v>0.34147360177510933</v>
      </c>
      <c r="E30" s="18">
        <f t="shared" si="11"/>
        <v>0.36123599828516828</v>
      </c>
      <c r="F30" s="18">
        <f t="shared" si="11"/>
        <v>0.39495742504549725</v>
      </c>
      <c r="G30" s="18">
        <f t="shared" si="11"/>
        <v>0.32983869101344615</v>
      </c>
      <c r="H30" s="18">
        <f t="shared" si="11"/>
        <v>0.3554699420201401</v>
      </c>
      <c r="I30" s="18">
        <f t="shared" si="11"/>
        <v>0.2794313638382927</v>
      </c>
      <c r="J30" s="18">
        <f t="shared" si="11"/>
        <v>0.36583295804898347</v>
      </c>
      <c r="K30" s="18">
        <f t="shared" si="11"/>
        <v>0.3023713137861897</v>
      </c>
      <c r="L30" s="18">
        <f t="shared" si="11"/>
        <v>0.25315967483534091</v>
      </c>
      <c r="M30" s="18">
        <f t="shared" si="11"/>
        <v>0.30622590579577663</v>
      </c>
    </row>
    <row r="32" spans="2:13" x14ac:dyDescent="0.35">
      <c r="B32" s="19" t="s">
        <v>76</v>
      </c>
      <c r="C32" s="21">
        <f>IFERROR(C26-C29,0)</f>
        <v>4332.6999999999953</v>
      </c>
      <c r="D32" s="21">
        <f t="shared" ref="D32:L32" si="12">IFERROR(D26-D29,0)</f>
        <v>5045.2999999999993</v>
      </c>
      <c r="E32" s="21">
        <f t="shared" si="12"/>
        <v>5810.8999999999878</v>
      </c>
      <c r="F32" s="21">
        <f t="shared" si="12"/>
        <v>4554.7000000000035</v>
      </c>
      <c r="G32" s="21">
        <f t="shared" si="12"/>
        <v>2895.7000000000016</v>
      </c>
      <c r="H32" s="21">
        <f t="shared" si="12"/>
        <v>1689.7000000000021</v>
      </c>
      <c r="I32" s="21">
        <f t="shared" si="12"/>
        <v>2108.6000000000149</v>
      </c>
      <c r="J32" s="21">
        <f t="shared" si="12"/>
        <v>3661.299999999997</v>
      </c>
      <c r="K32" s="21">
        <f t="shared" si="12"/>
        <v>9081.8000000000138</v>
      </c>
      <c r="L32" s="21">
        <f t="shared" si="12"/>
        <v>15103.8</v>
      </c>
      <c r="M32" s="21">
        <f>IFERROR(SUM('Data Sheet'!H49:K49),0)</f>
        <v>14931.6</v>
      </c>
    </row>
    <row r="33" spans="1:13" x14ac:dyDescent="0.35">
      <c r="B33" s="16" t="s">
        <v>77</v>
      </c>
      <c r="C33" s="18">
        <f>IFERROR(C32/C5,0)</f>
        <v>7.5234853878344735E-2</v>
      </c>
      <c r="D33" s="18">
        <f t="shared" ref="D33:M33" si="13">IFERROR(D32/D5,0)</f>
        <v>7.4102959535874258E-2</v>
      </c>
      <c r="E33" s="18">
        <f t="shared" si="13"/>
        <v>7.2809719155888755E-2</v>
      </c>
      <c r="F33" s="18">
        <f t="shared" si="13"/>
        <v>5.291947692826067E-2</v>
      </c>
      <c r="G33" s="18">
        <f t="shared" si="13"/>
        <v>3.8272535025112367E-2</v>
      </c>
      <c r="H33" s="18">
        <f t="shared" si="13"/>
        <v>2.401097027226741E-2</v>
      </c>
      <c r="I33" s="18">
        <f t="shared" si="13"/>
        <v>2.3871898272157469E-2</v>
      </c>
      <c r="J33" s="18">
        <f t="shared" si="13"/>
        <v>3.1141103313478687E-2</v>
      </c>
      <c r="K33" s="18">
        <f t="shared" si="13"/>
        <v>6.4020268126904284E-2</v>
      </c>
      <c r="L33" s="18">
        <f t="shared" si="13"/>
        <v>9.8773812560083177E-2</v>
      </c>
      <c r="M33" s="18">
        <f t="shared" si="13"/>
        <v>8.6926046843053897E-2</v>
      </c>
    </row>
    <row r="35" spans="1:13" x14ac:dyDescent="0.35">
      <c r="B35" t="s">
        <v>78</v>
      </c>
      <c r="C35">
        <f>IFERROR('Data Sheet'!B93,0)</f>
        <v>30.21</v>
      </c>
      <c r="D35">
        <f>IFERROR('Data Sheet'!C93,0)</f>
        <v>30.21</v>
      </c>
      <c r="E35">
        <f>IFERROR('Data Sheet'!D93,0)</f>
        <v>30.21</v>
      </c>
      <c r="F35">
        <f>IFERROR('Data Sheet'!E93,0)</f>
        <v>30.21</v>
      </c>
      <c r="G35">
        <f>IFERROR('Data Sheet'!F93,0)</f>
        <v>30.21</v>
      </c>
      <c r="H35">
        <f>IFERROR('Data Sheet'!G93,0)</f>
        <v>30.21</v>
      </c>
      <c r="I35">
        <f>IFERROR('Data Sheet'!H93,0)</f>
        <v>30.21</v>
      </c>
      <c r="J35">
        <f>IFERROR('Data Sheet'!I93,0)</f>
        <v>30.21</v>
      </c>
      <c r="K35">
        <f>IFERROR('Data Sheet'!J93,0)</f>
        <v>31.44</v>
      </c>
      <c r="L35">
        <f>IFERROR('Data Sheet'!K93,0)</f>
        <v>31.44</v>
      </c>
      <c r="M35">
        <v>31.44</v>
      </c>
    </row>
    <row r="37" spans="1:13" x14ac:dyDescent="0.35">
      <c r="B37" t="s">
        <v>30</v>
      </c>
      <c r="C37" s="14">
        <f>IFERROR(C32/C35,0)</f>
        <v>143.4193975504798</v>
      </c>
      <c r="D37" s="14">
        <f t="shared" ref="D37:L37" si="14">IFERROR(D32/D35,0)</f>
        <v>167.00761337305525</v>
      </c>
      <c r="E37" s="14">
        <f t="shared" si="14"/>
        <v>192.35021516054246</v>
      </c>
      <c r="F37" s="14">
        <f t="shared" si="14"/>
        <v>150.76795762992398</v>
      </c>
      <c r="G37" s="14">
        <f t="shared" si="14"/>
        <v>95.852366765971581</v>
      </c>
      <c r="H37" s="14">
        <f t="shared" si="14"/>
        <v>55.931810658722348</v>
      </c>
      <c r="I37" s="14">
        <f t="shared" si="14"/>
        <v>69.798080105925678</v>
      </c>
      <c r="J37" s="14">
        <f t="shared" si="14"/>
        <v>121.19496855345902</v>
      </c>
      <c r="K37" s="14">
        <f t="shared" si="14"/>
        <v>288.86132315521672</v>
      </c>
      <c r="L37" s="14">
        <f t="shared" si="14"/>
        <v>480.40076335877859</v>
      </c>
      <c r="M37" s="14">
        <f>IFERROR(M32/M35,0)</f>
        <v>474.92366412213738</v>
      </c>
    </row>
    <row r="38" spans="1:13" x14ac:dyDescent="0.35">
      <c r="B38" s="16" t="s">
        <v>79</v>
      </c>
      <c r="C38" s="17" t="s">
        <v>83</v>
      </c>
      <c r="D38" s="18">
        <f>IFERROR(D37/C37-1,0)</f>
        <v>0.16447019179726396</v>
      </c>
      <c r="E38" s="18">
        <f t="shared" ref="E38:M38" si="15">IFERROR(E37/D37-1,0)</f>
        <v>0.1517451885913601</v>
      </c>
      <c r="F38" s="18">
        <f t="shared" si="15"/>
        <v>-0.21617993770327948</v>
      </c>
      <c r="G38" s="18">
        <f t="shared" si="15"/>
        <v>-0.36423913759413373</v>
      </c>
      <c r="H38" s="18">
        <f t="shared" si="15"/>
        <v>-0.41647960769416681</v>
      </c>
      <c r="I38" s="18">
        <f t="shared" si="15"/>
        <v>0.24791383085755592</v>
      </c>
      <c r="J38" s="18">
        <f t="shared" si="15"/>
        <v>0.73636536090295523</v>
      </c>
      <c r="K38" s="18">
        <f t="shared" si="15"/>
        <v>1.3834431957280486</v>
      </c>
      <c r="L38" s="18">
        <f t="shared" si="15"/>
        <v>0.66308441057939782</v>
      </c>
      <c r="M38" s="18">
        <f t="shared" si="15"/>
        <v>-1.1401104357843694E-2</v>
      </c>
    </row>
    <row r="40" spans="1:13" x14ac:dyDescent="0.35">
      <c r="B40" t="s">
        <v>80</v>
      </c>
      <c r="C40" s="14">
        <f>IFERROR('Data Sheet'!B31/HISTORIACLFINANCIALS!C35,0)</f>
        <v>34.988414432307181</v>
      </c>
      <c r="D40" s="14">
        <f>IFERROR('Data Sheet'!C31/HISTORIACLFINANCIALS!D35,0)</f>
        <v>74.975173783515388</v>
      </c>
      <c r="E40" s="14">
        <f>IFERROR('Data Sheet'!D31/HISTORIACLFINANCIALS!E35,0)</f>
        <v>79.973518702416413</v>
      </c>
      <c r="F40" s="14">
        <f>IFERROR('Data Sheet'!E31/HISTORIACLFINANCIALS!F35,0)</f>
        <v>79.973518702416413</v>
      </c>
      <c r="G40" s="14">
        <f>IFERROR('Data Sheet'!F31/HISTORIACLFINANCIALS!G35,0)</f>
        <v>59.98013902681231</v>
      </c>
      <c r="H40" s="14">
        <f>IFERROR('Data Sheet'!G31/HISTORIACLFINANCIALS!H35,0)</f>
        <v>44.985104270109233</v>
      </c>
      <c r="I40" s="14">
        <f>IFERROR('Data Sheet'!H31/HISTORIACLFINANCIALS!I35,0)</f>
        <v>59.98013902681231</v>
      </c>
      <c r="J40" s="14">
        <f>IFERROR('Data Sheet'!I31/HISTORIACLFINANCIALS!J35,0)</f>
        <v>89.970208540218465</v>
      </c>
      <c r="K40" s="14">
        <f>IFERROR('Data Sheet'!J31/HISTORIACLFINANCIALS!K35,0)</f>
        <v>125</v>
      </c>
      <c r="L40" s="14">
        <f>IFERROR('Data Sheet'!K31/HISTORIACLFINANCIALS!L35,0)</f>
        <v>134.99999999999997</v>
      </c>
      <c r="M40" s="14">
        <f>IFERROR('Data Sheet'!L31/HISTORIACLFINANCIALS!M35,0)</f>
        <v>0</v>
      </c>
    </row>
    <row r="41" spans="1:13" x14ac:dyDescent="0.35">
      <c r="B41" s="16" t="s">
        <v>81</v>
      </c>
      <c r="C41" s="18">
        <f>IFERROR(C40/C37,0)</f>
        <v>0.24395873243012467</v>
      </c>
      <c r="D41" s="18">
        <f t="shared" ref="D41:M41" si="16">IFERROR(D40/D37,0)</f>
        <v>0.44893267000971204</v>
      </c>
      <c r="E41" s="18">
        <f t="shared" si="16"/>
        <v>0.41577036259443545</v>
      </c>
      <c r="F41" s="18">
        <f t="shared" si="16"/>
        <v>0.53044108283750802</v>
      </c>
      <c r="G41" s="18">
        <f t="shared" si="16"/>
        <v>0.62575543046586279</v>
      </c>
      <c r="H41" s="18">
        <f t="shared" si="16"/>
        <v>0.80428478428123229</v>
      </c>
      <c r="I41" s="18">
        <f t="shared" si="16"/>
        <v>0.85933794935027374</v>
      </c>
      <c r="J41" s="18">
        <f t="shared" si="16"/>
        <v>0.74235927129708079</v>
      </c>
      <c r="K41" s="18">
        <f t="shared" si="16"/>
        <v>0.43273359906626374</v>
      </c>
      <c r="L41" s="18">
        <f t="shared" si="16"/>
        <v>0.28101537361458701</v>
      </c>
      <c r="M41" s="18">
        <f t="shared" si="16"/>
        <v>0</v>
      </c>
    </row>
    <row r="43" spans="1:13" x14ac:dyDescent="0.35">
      <c r="B43" t="s">
        <v>82</v>
      </c>
      <c r="C43" s="15">
        <f t="shared" ref="C43:M43" si="17">IFERROR(1-C41,0)</f>
        <v>0.75604126756987533</v>
      </c>
      <c r="D43" s="15">
        <f t="shared" si="17"/>
        <v>0.55106732999028796</v>
      </c>
      <c r="E43" s="15">
        <f t="shared" si="17"/>
        <v>0.58422963740556455</v>
      </c>
      <c r="F43" s="15">
        <f t="shared" si="17"/>
        <v>0.46955891716249198</v>
      </c>
      <c r="G43" s="15">
        <f t="shared" si="17"/>
        <v>0.37424456953413721</v>
      </c>
      <c r="H43" s="15">
        <f t="shared" si="17"/>
        <v>0.19571521571876771</v>
      </c>
      <c r="I43" s="15">
        <f t="shared" si="17"/>
        <v>0.14066205064972626</v>
      </c>
      <c r="J43" s="15">
        <f t="shared" si="17"/>
        <v>0.25764072870291921</v>
      </c>
      <c r="K43" s="15">
        <f t="shared" si="17"/>
        <v>0.56726640093373626</v>
      </c>
      <c r="L43" s="15">
        <f t="shared" si="17"/>
        <v>0.71898462638541294</v>
      </c>
      <c r="M43" s="15">
        <f t="shared" si="17"/>
        <v>1</v>
      </c>
    </row>
    <row r="45" spans="1:13" s="11" customFormat="1" x14ac:dyDescent="0.35">
      <c r="A45" s="11" t="s">
        <v>57</v>
      </c>
      <c r="B45" s="12" t="s">
        <v>86</v>
      </c>
    </row>
    <row r="46" spans="1:13" x14ac:dyDescent="0.35">
      <c r="B46" t="str">
        <f>IFERROR('Data Sheet'!A57,0)</f>
        <v>Equity Share Capital</v>
      </c>
      <c r="C46" s="14">
        <f>IFERROR('Data Sheet'!B57,0)</f>
        <v>151</v>
      </c>
      <c r="D46" s="14">
        <f>IFERROR('Data Sheet'!C57,0)</f>
        <v>151</v>
      </c>
      <c r="E46" s="14">
        <f>IFERROR('Data Sheet'!D57,0)</f>
        <v>151</v>
      </c>
      <c r="F46" s="14">
        <f>IFERROR('Data Sheet'!E57,0)</f>
        <v>151</v>
      </c>
      <c r="G46" s="14">
        <f>IFERROR('Data Sheet'!F57,0)</f>
        <v>151</v>
      </c>
      <c r="H46" s="14">
        <f>IFERROR('Data Sheet'!G57,0)</f>
        <v>151</v>
      </c>
      <c r="I46" s="14">
        <f>IFERROR('Data Sheet'!H57,0)</f>
        <v>151</v>
      </c>
      <c r="J46" s="14">
        <f>IFERROR('Data Sheet'!I57,0)</f>
        <v>151</v>
      </c>
      <c r="K46" s="14">
        <f>IFERROR('Data Sheet'!J57,0)</f>
        <v>157.19999999999999</v>
      </c>
      <c r="L46" s="14">
        <f>IFERROR('Data Sheet'!K57,0)</f>
        <v>157.19999999999999</v>
      </c>
    </row>
    <row r="47" spans="1:13" x14ac:dyDescent="0.35">
      <c r="B47" t="str">
        <f>IFERROR('Data Sheet'!A58,0)</f>
        <v>Reserves</v>
      </c>
      <c r="C47" s="14">
        <f>IFERROR('Data Sheet'!B58,0)</f>
        <v>30465</v>
      </c>
      <c r="D47" s="14">
        <f>IFERROR('Data Sheet'!C58,0)</f>
        <v>36924.1</v>
      </c>
      <c r="E47" s="14">
        <f>IFERROR('Data Sheet'!D58,0)</f>
        <v>42408.4</v>
      </c>
      <c r="F47" s="14">
        <f>IFERROR('Data Sheet'!E58,0)</f>
        <v>46941.1</v>
      </c>
      <c r="G47" s="14">
        <f>IFERROR('Data Sheet'!F58,0)</f>
        <v>49262</v>
      </c>
      <c r="H47" s="14">
        <f>IFERROR('Data Sheet'!G58,0)</f>
        <v>52349.599999999999</v>
      </c>
      <c r="I47" s="14">
        <f>IFERROR('Data Sheet'!H58,0)</f>
        <v>55182.5</v>
      </c>
      <c r="J47" s="14">
        <f>IFERROR('Data Sheet'!I58,0)</f>
        <v>61640.3</v>
      </c>
      <c r="K47" s="14">
        <f>IFERROR('Data Sheet'!J58,0)</f>
        <v>85478.8</v>
      </c>
      <c r="L47" s="14">
        <f>IFERROR('Data Sheet'!K58,0)</f>
        <v>96082.7</v>
      </c>
    </row>
    <row r="48" spans="1:13" x14ac:dyDescent="0.35">
      <c r="B48" t="str">
        <f>IFERROR('Data Sheet'!A59,0)</f>
        <v>Borrowings</v>
      </c>
      <c r="C48" s="14">
        <f>IFERROR('Data Sheet'!B59,0)</f>
        <v>230.9</v>
      </c>
      <c r="D48" s="14">
        <f>IFERROR('Data Sheet'!C59,0)</f>
        <v>483.6</v>
      </c>
      <c r="E48" s="14">
        <f>IFERROR('Data Sheet'!D59,0)</f>
        <v>120.8</v>
      </c>
      <c r="F48" s="14">
        <f>IFERROR('Data Sheet'!E59,0)</f>
        <v>159.6</v>
      </c>
      <c r="G48" s="14">
        <f>IFERROR('Data Sheet'!F59,0)</f>
        <v>184.1</v>
      </c>
      <c r="H48" s="14">
        <f>IFERROR('Data Sheet'!G59,0)</f>
        <v>540.9</v>
      </c>
      <c r="I48" s="14">
        <f>IFERROR('Data Sheet'!H59,0)</f>
        <v>425.5</v>
      </c>
      <c r="J48" s="14">
        <f>IFERROR('Data Sheet'!I59,0)</f>
        <v>1247.3</v>
      </c>
      <c r="K48" s="14">
        <f>IFERROR('Data Sheet'!J59,0)</f>
        <v>118.6</v>
      </c>
      <c r="L48" s="14">
        <f>IFERROR('Data Sheet'!K59,0)</f>
        <v>87</v>
      </c>
    </row>
    <row r="49" spans="2:13" x14ac:dyDescent="0.35">
      <c r="B49" t="str">
        <f>IFERROR('Data Sheet'!A60,0)</f>
        <v>Other Liabilities</v>
      </c>
      <c r="C49" s="14">
        <f>IFERROR('Data Sheet'!B60,0)</f>
        <v>11878.6</v>
      </c>
      <c r="D49" s="14">
        <f>IFERROR('Data Sheet'!C60,0)</f>
        <v>14401.8</v>
      </c>
      <c r="E49" s="14">
        <f>IFERROR('Data Sheet'!D60,0)</f>
        <v>17568.2</v>
      </c>
      <c r="F49" s="14">
        <f>IFERROR('Data Sheet'!E60,0)</f>
        <v>16717</v>
      </c>
      <c r="G49" s="14">
        <f>IFERROR('Data Sheet'!F60,0)</f>
        <v>14030.6</v>
      </c>
      <c r="H49" s="14">
        <f>IFERROR('Data Sheet'!G60,0)</f>
        <v>18334.599999999999</v>
      </c>
      <c r="I49" s="14">
        <f>IFERROR('Data Sheet'!H60,0)</f>
        <v>18896.5</v>
      </c>
      <c r="J49" s="14">
        <f>IFERROR('Data Sheet'!I60,0)</f>
        <v>21558.3</v>
      </c>
      <c r="K49" s="14">
        <f>IFERROR('Data Sheet'!J60,0)</f>
        <v>29549.5</v>
      </c>
      <c r="L49" s="14">
        <f>IFERROR('Data Sheet'!K60,0)</f>
        <v>35644.300000000003</v>
      </c>
    </row>
    <row r="50" spans="2:13" x14ac:dyDescent="0.35">
      <c r="B50" s="23" t="s">
        <v>87</v>
      </c>
      <c r="C50" s="24">
        <f>IFERROR(SUM(C46:C49),0)</f>
        <v>42725.5</v>
      </c>
      <c r="D50" s="24">
        <f t="shared" ref="D50:L50" si="18">IFERROR(SUM(D46:D49),0)</f>
        <v>51960.5</v>
      </c>
      <c r="E50" s="24">
        <f t="shared" si="18"/>
        <v>60248.400000000009</v>
      </c>
      <c r="F50" s="24">
        <f t="shared" si="18"/>
        <v>63968.7</v>
      </c>
      <c r="G50" s="24">
        <f t="shared" si="18"/>
        <v>63627.7</v>
      </c>
      <c r="H50" s="24">
        <f t="shared" si="18"/>
        <v>71376.100000000006</v>
      </c>
      <c r="I50" s="24">
        <f t="shared" si="18"/>
        <v>74655.5</v>
      </c>
      <c r="J50" s="24">
        <f t="shared" si="18"/>
        <v>84596.900000000009</v>
      </c>
      <c r="K50" s="24">
        <f t="shared" si="18"/>
        <v>115304.1</v>
      </c>
      <c r="L50" s="24">
        <f t="shared" si="18"/>
        <v>131971.20000000001</v>
      </c>
    </row>
    <row r="52" spans="2:13" x14ac:dyDescent="0.35">
      <c r="B52" t="s">
        <v>88</v>
      </c>
      <c r="C52" s="14">
        <f>IFERROR('Data Sheet'!B62,0)</f>
        <v>12529.6</v>
      </c>
      <c r="D52" s="14">
        <f>IFERROR('Data Sheet'!C62,0)</f>
        <v>13310.7</v>
      </c>
      <c r="E52" s="14">
        <f>IFERROR('Data Sheet'!D62,0)</f>
        <v>13388.8</v>
      </c>
      <c r="F52" s="14">
        <f>IFERROR('Data Sheet'!E62,0)</f>
        <v>15437.3</v>
      </c>
      <c r="G52" s="14">
        <f>IFERROR('Data Sheet'!F62,0)</f>
        <v>15744.4</v>
      </c>
      <c r="H52" s="14">
        <f>IFERROR('Data Sheet'!G62,0)</f>
        <v>14988.7</v>
      </c>
      <c r="I52" s="14">
        <f>IFERROR('Data Sheet'!H62,0)</f>
        <v>13747.2</v>
      </c>
      <c r="J52" s="14">
        <f>IFERROR('Data Sheet'!I62,0)</f>
        <v>17830.400000000001</v>
      </c>
      <c r="K52" s="14">
        <f>IFERROR('Data Sheet'!J62,0)</f>
        <v>27864.799999999999</v>
      </c>
      <c r="L52" s="14">
        <f>IFERROR('Data Sheet'!K62,0)</f>
        <v>32982.699999999997</v>
      </c>
      <c r="M52" s="14"/>
    </row>
    <row r="53" spans="2:13" x14ac:dyDescent="0.35">
      <c r="B53" t="str">
        <f>IFERROR('Data Sheet'!A63,0)</f>
        <v>Capital Work in Progress</v>
      </c>
      <c r="C53" s="14">
        <f>IFERROR('Data Sheet'!B63,0)</f>
        <v>1006.9</v>
      </c>
      <c r="D53" s="14">
        <f>IFERROR('Data Sheet'!C63,0)</f>
        <v>1252.3</v>
      </c>
      <c r="E53" s="14">
        <f>IFERROR('Data Sheet'!D63,0)</f>
        <v>2132.1</v>
      </c>
      <c r="F53" s="14">
        <f>IFERROR('Data Sheet'!E63,0)</f>
        <v>1606.9</v>
      </c>
      <c r="G53" s="14">
        <f>IFERROR('Data Sheet'!F63,0)</f>
        <v>1415.2</v>
      </c>
      <c r="H53" s="14">
        <f>IFERROR('Data Sheet'!G63,0)</f>
        <v>1496.8</v>
      </c>
      <c r="I53" s="14">
        <f>IFERROR('Data Sheet'!H63,0)</f>
        <v>2936.5</v>
      </c>
      <c r="J53" s="14">
        <f>IFERROR('Data Sheet'!I63,0)</f>
        <v>2904.1</v>
      </c>
      <c r="K53" s="14">
        <f>IFERROR('Data Sheet'!J63,0)</f>
        <v>7734.8</v>
      </c>
      <c r="L53" s="14">
        <f>IFERROR('Data Sheet'!K63,0)</f>
        <v>7929</v>
      </c>
    </row>
    <row r="54" spans="2:13" x14ac:dyDescent="0.35">
      <c r="B54" t="str">
        <f>IFERROR('Data Sheet'!A64,0)</f>
        <v>Investments</v>
      </c>
      <c r="C54" s="14">
        <f>IFERROR('Data Sheet'!B64,0)</f>
        <v>20675.8</v>
      </c>
      <c r="D54" s="14">
        <f>IFERROR('Data Sheet'!C64,0)</f>
        <v>29150.6</v>
      </c>
      <c r="E54" s="14">
        <f>IFERROR('Data Sheet'!D64,0)</f>
        <v>36123.1</v>
      </c>
      <c r="F54" s="14">
        <f>IFERROR('Data Sheet'!E64,0)</f>
        <v>37503.599999999999</v>
      </c>
      <c r="G54" s="14">
        <f>IFERROR('Data Sheet'!F64,0)</f>
        <v>37488</v>
      </c>
      <c r="H54" s="14">
        <f>IFERROR('Data Sheet'!G64,0)</f>
        <v>42944.800000000003</v>
      </c>
      <c r="I54" s="14">
        <f>IFERROR('Data Sheet'!H64,0)</f>
        <v>42034.7</v>
      </c>
      <c r="J54" s="14">
        <f>IFERROR('Data Sheet'!I64,0)</f>
        <v>49184.3</v>
      </c>
      <c r="K54" s="14">
        <f>IFERROR('Data Sheet'!J64,0)</f>
        <v>57296</v>
      </c>
      <c r="L54" s="14">
        <f>IFERROR('Data Sheet'!K64,0)</f>
        <v>66265.399999999994</v>
      </c>
    </row>
    <row r="55" spans="2:13" x14ac:dyDescent="0.35">
      <c r="B55" t="str">
        <f>IFERROR('Data Sheet'!A65,0)</f>
        <v>Other Assets</v>
      </c>
      <c r="C55" s="14">
        <f>IFERROR('Data Sheet'!B65-SUM('Data Sheet'!B67:B69),0)</f>
        <v>4006.5000000000009</v>
      </c>
      <c r="D55" s="14">
        <f>IFERROR('Data Sheet'!C65-SUM('Data Sheet'!C67:C69),0)</f>
        <v>3757.1000000000004</v>
      </c>
      <c r="E55" s="14">
        <f>IFERROR('Data Sheet'!D65-SUM('Data Sheet'!D67:D69),0)</f>
        <v>3904.7999999999993</v>
      </c>
      <c r="F55" s="14">
        <f>IFERROR('Data Sheet'!E65-SUM('Data Sheet'!E67:E69),0)</f>
        <v>3597.7</v>
      </c>
      <c r="G55" s="14">
        <f>IFERROR('Data Sheet'!F65-SUM('Data Sheet'!F67:F69),0)</f>
        <v>3759.5</v>
      </c>
      <c r="H55" s="14">
        <f>IFERROR('Data Sheet'!G65-SUM('Data Sheet'!G67:G69),0)</f>
        <v>4569.7999999999993</v>
      </c>
      <c r="I55" s="14">
        <f>IFERROR('Data Sheet'!H65-SUM('Data Sheet'!H67:H69),0)</f>
        <v>7328.1</v>
      </c>
      <c r="J55" s="14">
        <f>IFERROR('Data Sheet'!I65-SUM('Data Sheet'!I67:I69),0)</f>
        <v>7051.6</v>
      </c>
      <c r="K55" s="14">
        <f>IFERROR('Data Sheet'!J65-SUM('Data Sheet'!J67:J69),0)</f>
        <v>9666.1999999999989</v>
      </c>
      <c r="L55" s="14">
        <f>IFERROR('Data Sheet'!K65-SUM('Data Sheet'!K67:K69),0)</f>
        <v>10788.3</v>
      </c>
    </row>
    <row r="56" spans="2:13" x14ac:dyDescent="0.35">
      <c r="B56" s="23" t="s">
        <v>89</v>
      </c>
      <c r="C56" s="24">
        <f>IFERROR(SUM(C52:C55),0)</f>
        <v>38218.800000000003</v>
      </c>
      <c r="D56" s="24">
        <f t="shared" ref="D56:L56" si="19">IFERROR(SUM(D52:D55),0)</f>
        <v>47470.7</v>
      </c>
      <c r="E56" s="24">
        <f t="shared" si="19"/>
        <v>55548.800000000003</v>
      </c>
      <c r="F56" s="24">
        <f t="shared" si="19"/>
        <v>58145.5</v>
      </c>
      <c r="G56" s="24">
        <f t="shared" si="19"/>
        <v>58407.1</v>
      </c>
      <c r="H56" s="24">
        <f t="shared" si="19"/>
        <v>64000.100000000006</v>
      </c>
      <c r="I56" s="24">
        <f t="shared" si="19"/>
        <v>66046.5</v>
      </c>
      <c r="J56" s="24">
        <f t="shared" si="19"/>
        <v>76970.400000000009</v>
      </c>
      <c r="K56" s="24">
        <f t="shared" si="19"/>
        <v>102561.8</v>
      </c>
      <c r="L56" s="24">
        <f t="shared" si="19"/>
        <v>117965.4</v>
      </c>
    </row>
    <row r="58" spans="2:13" x14ac:dyDescent="0.35">
      <c r="B58" t="str">
        <f>IFERROR('Data Sheet'!A67,0)</f>
        <v>Receivables</v>
      </c>
      <c r="C58" s="14">
        <f>IFERROR('Data Sheet'!B67,0)</f>
        <v>1323.4</v>
      </c>
      <c r="D58" s="14">
        <f>IFERROR('Data Sheet'!C67,0)</f>
        <v>1202.5999999999999</v>
      </c>
      <c r="E58" s="14">
        <f>IFERROR('Data Sheet'!D67,0)</f>
        <v>1465.4</v>
      </c>
      <c r="F58" s="14">
        <f>IFERROR('Data Sheet'!E67,0)</f>
        <v>2312.8000000000002</v>
      </c>
      <c r="G58" s="14">
        <f>IFERROR('Data Sheet'!F67,0)</f>
        <v>1977.7</v>
      </c>
      <c r="H58" s="14">
        <f>IFERROR('Data Sheet'!G67,0)</f>
        <v>1279.9000000000001</v>
      </c>
      <c r="I58" s="14">
        <f>IFERROR('Data Sheet'!H67,0)</f>
        <v>2034.5</v>
      </c>
      <c r="J58" s="14">
        <f>IFERROR('Data Sheet'!I67,0)</f>
        <v>3301.4</v>
      </c>
      <c r="K58" s="14">
        <f>IFERROR('Data Sheet'!J67,0)</f>
        <v>4596.8</v>
      </c>
      <c r="L58" s="14">
        <f>IFERROR('Data Sheet'!K67,0)</f>
        <v>6539.7</v>
      </c>
    </row>
    <row r="59" spans="2:13" x14ac:dyDescent="0.35">
      <c r="B59" t="str">
        <f>IFERROR('Data Sheet'!A68,0)</f>
        <v>Inventory</v>
      </c>
      <c r="C59" s="14">
        <f>IFERROR('Data Sheet'!B68,0)</f>
        <v>3132.6</v>
      </c>
      <c r="D59" s="14">
        <f>IFERROR('Data Sheet'!C68,0)</f>
        <v>3263.7</v>
      </c>
      <c r="E59" s="14">
        <f>IFERROR('Data Sheet'!D68,0)</f>
        <v>3160.2</v>
      </c>
      <c r="F59" s="14">
        <f>IFERROR('Data Sheet'!E68,0)</f>
        <v>3322.6</v>
      </c>
      <c r="G59" s="14">
        <f>IFERROR('Data Sheet'!F68,0)</f>
        <v>3213.9</v>
      </c>
      <c r="H59" s="14">
        <f>IFERROR('Data Sheet'!G68,0)</f>
        <v>3049</v>
      </c>
      <c r="I59" s="14">
        <f>IFERROR('Data Sheet'!H68,0)</f>
        <v>3532.3</v>
      </c>
      <c r="J59" s="14">
        <f>IFERROR('Data Sheet'!I68,0)</f>
        <v>4283.5</v>
      </c>
      <c r="K59" s="14">
        <f>IFERROR('Data Sheet'!J68,0)</f>
        <v>5318.1</v>
      </c>
      <c r="L59" s="14">
        <f>IFERROR('Data Sheet'!K68,0)</f>
        <v>6913.2</v>
      </c>
    </row>
    <row r="60" spans="2:13" x14ac:dyDescent="0.35">
      <c r="B60" t="str">
        <f>IFERROR('Data Sheet'!A69,0)</f>
        <v>Cash &amp; Bank</v>
      </c>
      <c r="C60" s="14">
        <f>IFERROR('Data Sheet'!B69,0)</f>
        <v>50.7</v>
      </c>
      <c r="D60" s="14">
        <f>IFERROR('Data Sheet'!C69,0)</f>
        <v>23.5</v>
      </c>
      <c r="E60" s="14">
        <f>IFERROR('Data Sheet'!D69,0)</f>
        <v>74</v>
      </c>
      <c r="F60" s="14">
        <f>IFERROR('Data Sheet'!E69,0)</f>
        <v>187.8</v>
      </c>
      <c r="G60" s="14">
        <f>IFERROR('Data Sheet'!F69,0)</f>
        <v>29</v>
      </c>
      <c r="H60" s="14">
        <f>IFERROR('Data Sheet'!G69,0)</f>
        <v>3047.1</v>
      </c>
      <c r="I60" s="14">
        <f>IFERROR('Data Sheet'!H69,0)</f>
        <v>3042.2</v>
      </c>
      <c r="J60" s="14">
        <f>IFERROR('Data Sheet'!I69,0)</f>
        <v>41.6</v>
      </c>
      <c r="K60" s="14">
        <f>IFERROR('Data Sheet'!J69,0)</f>
        <v>2827.4</v>
      </c>
      <c r="L60" s="14">
        <f>IFERROR('Data Sheet'!K69,0)</f>
        <v>552.9</v>
      </c>
    </row>
    <row r="61" spans="2:13" x14ac:dyDescent="0.35">
      <c r="B61" s="23" t="s">
        <v>90</v>
      </c>
      <c r="C61" s="24">
        <f>IFERROR(SUM(C58:C60),0)</f>
        <v>4506.7</v>
      </c>
      <c r="D61" s="24">
        <f t="shared" ref="D61:L61" si="20">IFERROR(SUM(D58:D60),0)</f>
        <v>4489.7999999999993</v>
      </c>
      <c r="E61" s="24">
        <f t="shared" si="20"/>
        <v>4699.6000000000004</v>
      </c>
      <c r="F61" s="24">
        <f t="shared" si="20"/>
        <v>5823.2</v>
      </c>
      <c r="G61" s="24">
        <f t="shared" si="20"/>
        <v>5220.6000000000004</v>
      </c>
      <c r="H61" s="24">
        <f t="shared" si="20"/>
        <v>7376</v>
      </c>
      <c r="I61" s="24">
        <f t="shared" si="20"/>
        <v>8609</v>
      </c>
      <c r="J61" s="24">
        <f t="shared" si="20"/>
        <v>7626.5</v>
      </c>
      <c r="K61" s="24">
        <f t="shared" si="20"/>
        <v>12742.300000000001</v>
      </c>
      <c r="L61" s="24">
        <f t="shared" si="20"/>
        <v>14005.8</v>
      </c>
    </row>
    <row r="63" spans="2:13" x14ac:dyDescent="0.35">
      <c r="B63" s="23" t="s">
        <v>91</v>
      </c>
      <c r="C63" s="24">
        <f>IFERROR(C56+C61,0)</f>
        <v>42725.5</v>
      </c>
      <c r="D63" s="24">
        <f t="shared" ref="D63:L63" si="21">IFERROR(D56+D61,0)</f>
        <v>51960.5</v>
      </c>
      <c r="E63" s="24">
        <f t="shared" si="21"/>
        <v>60248.4</v>
      </c>
      <c r="F63" s="24">
        <f t="shared" si="21"/>
        <v>63968.7</v>
      </c>
      <c r="G63" s="24">
        <f t="shared" si="21"/>
        <v>63627.7</v>
      </c>
      <c r="H63" s="24">
        <f t="shared" si="21"/>
        <v>71376.100000000006</v>
      </c>
      <c r="I63" s="24">
        <f t="shared" si="21"/>
        <v>74655.5</v>
      </c>
      <c r="J63" s="24">
        <f t="shared" si="21"/>
        <v>84596.900000000009</v>
      </c>
      <c r="K63" s="24">
        <f t="shared" si="21"/>
        <v>115304.1</v>
      </c>
      <c r="L63" s="24">
        <f t="shared" si="21"/>
        <v>131971.19999999998</v>
      </c>
    </row>
    <row r="65" spans="1:12" x14ac:dyDescent="0.35">
      <c r="B65" s="16" t="s">
        <v>92</v>
      </c>
      <c r="C65" s="16" t="b">
        <f>C50=C63</f>
        <v>1</v>
      </c>
      <c r="D65" s="16" t="b">
        <f t="shared" ref="D65:L65" si="22">D50=D63</f>
        <v>1</v>
      </c>
      <c r="E65" s="16" t="b">
        <f t="shared" si="22"/>
        <v>1</v>
      </c>
      <c r="F65" s="16" t="b">
        <f t="shared" si="22"/>
        <v>1</v>
      </c>
      <c r="G65" s="16" t="b">
        <f t="shared" si="22"/>
        <v>1</v>
      </c>
      <c r="H65" s="16" t="b">
        <f t="shared" si="22"/>
        <v>1</v>
      </c>
      <c r="I65" s="16" t="b">
        <f t="shared" si="22"/>
        <v>1</v>
      </c>
      <c r="J65" s="16" t="b">
        <f t="shared" si="22"/>
        <v>1</v>
      </c>
      <c r="K65" s="16" t="b">
        <f t="shared" si="22"/>
        <v>1</v>
      </c>
      <c r="L65" s="16" t="b">
        <f t="shared" si="22"/>
        <v>1</v>
      </c>
    </row>
    <row r="67" spans="1:12" s="11" customFormat="1" x14ac:dyDescent="0.35">
      <c r="A67" s="11" t="s">
        <v>57</v>
      </c>
      <c r="B67" s="12" t="s">
        <v>93</v>
      </c>
    </row>
    <row r="68" spans="1:12" x14ac:dyDescent="0.35">
      <c r="B68" s="2" t="s">
        <v>118</v>
      </c>
    </row>
    <row r="69" spans="1:12" x14ac:dyDescent="0.35">
      <c r="B69" t="s">
        <v>95</v>
      </c>
      <c r="C69" s="14">
        <f>IFERROR(DATA!E4,0)</f>
        <v>8935</v>
      </c>
      <c r="D69" s="14">
        <f>IFERROR(DATA!F4,0)</f>
        <v>10413</v>
      </c>
      <c r="E69" s="14">
        <f>IFERROR(DATA!G4,0)</f>
        <v>12036</v>
      </c>
      <c r="F69" s="14">
        <f>IFERROR(DATA!H4,0)</f>
        <v>11060</v>
      </c>
      <c r="G69" s="14">
        <f>IFERROR(DATA!I4,0)</f>
        <v>7503</v>
      </c>
      <c r="H69" s="14">
        <f>IFERROR(DATA!J4,0)</f>
        <v>5531</v>
      </c>
      <c r="I69" s="14">
        <f>IFERROR(DATA!K4,0)</f>
        <v>5832</v>
      </c>
      <c r="J69" s="14">
        <f>IFERROR(DATA!L4,0)</f>
        <v>11112</v>
      </c>
      <c r="K69" s="14">
        <f>IFERROR(DATA!M4,0)</f>
        <v>18676</v>
      </c>
      <c r="L69" s="14">
        <f>IFERROR(DATA!N4,0)</f>
        <v>20322</v>
      </c>
    </row>
    <row r="70" spans="1:12" x14ac:dyDescent="0.35">
      <c r="B70" t="s">
        <v>43</v>
      </c>
      <c r="C70" s="14">
        <f>IFERROR(DATA!E5,0)</f>
        <v>-204</v>
      </c>
      <c r="D70" s="14">
        <f>IFERROR(DATA!F5,0)</f>
        <v>122</v>
      </c>
      <c r="E70" s="14">
        <f>IFERROR(DATA!G5,0)</f>
        <v>-262</v>
      </c>
      <c r="F70" s="14">
        <f>IFERROR(DATA!H5,0)</f>
        <v>-851</v>
      </c>
      <c r="G70" s="14">
        <f>IFERROR(DATA!I5,0)</f>
        <v>340</v>
      </c>
      <c r="H70" s="14">
        <f>IFERROR(DATA!J5,0)</f>
        <v>696</v>
      </c>
      <c r="I70" s="14">
        <f>IFERROR(DATA!K5,0)</f>
        <v>-764</v>
      </c>
      <c r="J70" s="14">
        <f>IFERROR(DATA!L5,0)</f>
        <v>-1258</v>
      </c>
      <c r="K70" s="14">
        <f>IFERROR(DATA!M5,0)</f>
        <v>-1316</v>
      </c>
      <c r="L70" s="14">
        <f>IFERROR(DATA!N5,0)</f>
        <v>-1969</v>
      </c>
    </row>
    <row r="71" spans="1:12" x14ac:dyDescent="0.35">
      <c r="B71" t="s">
        <v>29</v>
      </c>
      <c r="C71" s="14">
        <f>IFERROR(DATA!E6,0)</f>
        <v>-450</v>
      </c>
      <c r="D71" s="14">
        <f>IFERROR(DATA!F6,0)</f>
        <v>-131</v>
      </c>
      <c r="E71" s="14">
        <f>IFERROR(DATA!G6,0)</f>
        <v>104</v>
      </c>
      <c r="F71" s="14">
        <f>IFERROR(DATA!H6,0)</f>
        <v>-162</v>
      </c>
      <c r="G71" s="14">
        <f>IFERROR(DATA!I6,0)</f>
        <v>109</v>
      </c>
      <c r="H71" s="14">
        <f>IFERROR(DATA!J6,0)</f>
        <v>165</v>
      </c>
      <c r="I71" s="14">
        <f>IFERROR(DATA!K6,0)</f>
        <v>-483</v>
      </c>
      <c r="J71" s="14">
        <f>IFERROR(DATA!L6,0)</f>
        <v>-751</v>
      </c>
      <c r="K71" s="14">
        <f>IFERROR(DATA!M6,0)</f>
        <v>125</v>
      </c>
      <c r="L71" s="14">
        <f>IFERROR(DATA!N6,0)</f>
        <v>-1595</v>
      </c>
    </row>
    <row r="72" spans="1:12" x14ac:dyDescent="0.35">
      <c r="B72" t="s">
        <v>96</v>
      </c>
      <c r="C72" s="14">
        <f>IFERROR(DATA!E7,0)</f>
        <v>1789</v>
      </c>
      <c r="D72" s="14">
        <f>IFERROR(DATA!F7,0)</f>
        <v>979</v>
      </c>
      <c r="E72" s="14">
        <f>IFERROR(DATA!G7,0)</f>
        <v>2128</v>
      </c>
      <c r="F72" s="14">
        <f>IFERROR(DATA!H7,0)</f>
        <v>-858</v>
      </c>
      <c r="G72" s="14">
        <f>IFERROR(DATA!I7,0)</f>
        <v>-2155</v>
      </c>
      <c r="H72" s="14">
        <f>IFERROR(DATA!J7,0)</f>
        <v>2680</v>
      </c>
      <c r="I72" s="14">
        <f>IFERROR(DATA!K7,0)</f>
        <v>-396</v>
      </c>
      <c r="J72" s="14">
        <f>IFERROR(DATA!L7,0)</f>
        <v>2008</v>
      </c>
      <c r="K72" s="14">
        <f>IFERROR(DATA!M7,0)</f>
        <v>3321</v>
      </c>
      <c r="L72" s="14">
        <f>IFERROR(DATA!N7,0)</f>
        <v>3509</v>
      </c>
    </row>
    <row r="73" spans="1:12" x14ac:dyDescent="0.35">
      <c r="B73" t="s">
        <v>97</v>
      </c>
      <c r="C73" s="14">
        <f>IFERROR(DATA!E8,0)</f>
        <v>-1</v>
      </c>
      <c r="D73" s="14">
        <f>IFERROR(DATA!F8,0)</f>
        <v>1</v>
      </c>
      <c r="E73" s="14">
        <f>IFERROR(DATA!G8,0)</f>
        <v>0</v>
      </c>
      <c r="F73" s="14">
        <f>IFERROR(DATA!H8,0)</f>
        <v>-13</v>
      </c>
      <c r="G73" s="14">
        <f>IFERROR(DATA!I8,0)</f>
        <v>-1</v>
      </c>
      <c r="H73" s="14">
        <f>IFERROR(DATA!J8,0)</f>
        <v>-6</v>
      </c>
      <c r="I73" s="14">
        <f>IFERROR(DATA!K8,0)</f>
        <v>-8</v>
      </c>
      <c r="J73" s="14">
        <f>IFERROR(DATA!L8,0)</f>
        <v>1</v>
      </c>
      <c r="K73" s="14">
        <f>IFERROR(DATA!M8,0)</f>
        <v>-3</v>
      </c>
      <c r="L73" s="14">
        <f>IFERROR(DATA!N8,0)</f>
        <v>-10</v>
      </c>
    </row>
    <row r="74" spans="1:12" x14ac:dyDescent="0.35">
      <c r="B74" t="s">
        <v>98</v>
      </c>
      <c r="C74" s="14">
        <f>IFERROR(DATA!E9,0)</f>
        <v>325</v>
      </c>
      <c r="D74" s="14">
        <f>IFERROR(DATA!F9,0)</f>
        <v>1222</v>
      </c>
      <c r="E74" s="14">
        <f>IFERROR(DATA!G9,0)</f>
        <v>839</v>
      </c>
      <c r="F74" s="14">
        <f>IFERROR(DATA!H9,0)</f>
        <v>569</v>
      </c>
      <c r="G74" s="14">
        <f>IFERROR(DATA!I9,0)</f>
        <v>-863</v>
      </c>
      <c r="H74" s="14">
        <f>IFERROR(DATA!J9,0)</f>
        <v>801</v>
      </c>
      <c r="I74" s="14">
        <f>IFERROR(DATA!K9,0)</f>
        <v>-1162</v>
      </c>
      <c r="J74" s="14">
        <f>IFERROR(DATA!L9,0)</f>
        <v>374</v>
      </c>
      <c r="K74" s="14">
        <f>IFERROR(DATA!M9,0)</f>
        <v>-406</v>
      </c>
      <c r="L74" s="14">
        <f>IFERROR(DATA!N9,0)</f>
        <v>-313</v>
      </c>
    </row>
    <row r="75" spans="1:12" x14ac:dyDescent="0.35">
      <c r="B75" t="s">
        <v>99</v>
      </c>
      <c r="C75" s="14">
        <f>IFERROR(DATA!E10,0)</f>
        <v>1460</v>
      </c>
      <c r="D75" s="14">
        <f>IFERROR(DATA!F10,0)</f>
        <v>2192</v>
      </c>
      <c r="E75" s="14">
        <f>IFERROR(DATA!G10,0)</f>
        <v>2808</v>
      </c>
      <c r="F75" s="14">
        <f>IFERROR(DATA!H10,0)</f>
        <v>-1315</v>
      </c>
      <c r="G75" s="14">
        <f>IFERROR(DATA!I10,0)</f>
        <v>-2570</v>
      </c>
      <c r="H75" s="14">
        <f>IFERROR(DATA!J10,0)</f>
        <v>4336</v>
      </c>
      <c r="I75" s="14">
        <f>IFERROR(DATA!K10,0)</f>
        <v>-2813</v>
      </c>
      <c r="J75" s="14">
        <f>IFERROR(DATA!L10,0)</f>
        <v>373</v>
      </c>
      <c r="K75" s="14">
        <f>IFERROR(DATA!M10,0)</f>
        <v>1722</v>
      </c>
      <c r="L75" s="14">
        <f>IFERROR(DATA!N10,0)</f>
        <v>-378</v>
      </c>
    </row>
    <row r="76" spans="1:12" x14ac:dyDescent="0.35">
      <c r="B76" t="s">
        <v>100</v>
      </c>
      <c r="C76" s="14">
        <f>IFERROR(DATA!E11,0)</f>
        <v>-1912</v>
      </c>
      <c r="D76" s="14">
        <f>IFERROR(DATA!F11,0)</f>
        <v>-2323</v>
      </c>
      <c r="E76" s="14">
        <f>IFERROR(DATA!G11,0)</f>
        <v>-3056</v>
      </c>
      <c r="F76" s="14">
        <f>IFERROR(DATA!H11,0)</f>
        <v>-3144</v>
      </c>
      <c r="G76" s="14">
        <f>IFERROR(DATA!I11,0)</f>
        <v>-1438</v>
      </c>
      <c r="H76" s="14">
        <f>IFERROR(DATA!J11,0)</f>
        <v>-1011</v>
      </c>
      <c r="I76" s="14">
        <f>IFERROR(DATA!K11,0)</f>
        <v>-1178</v>
      </c>
      <c r="J76" s="14">
        <f>IFERROR(DATA!L11,0)</f>
        <v>-2233</v>
      </c>
      <c r="K76" s="14">
        <f>IFERROR(DATA!M11,0)</f>
        <v>-3597</v>
      </c>
      <c r="L76" s="14">
        <f>IFERROR(DATA!N11,0)</f>
        <v>-3807</v>
      </c>
    </row>
    <row r="77" spans="1:12" x14ac:dyDescent="0.35">
      <c r="B77" s="2" t="s">
        <v>119</v>
      </c>
      <c r="C77" s="27">
        <f>IFERROR(SUM(C69:C76),0)</f>
        <v>9942</v>
      </c>
      <c r="D77" s="27">
        <f t="shared" ref="D77:L77" si="23">IFERROR(SUM(D69:D76),0)</f>
        <v>12475</v>
      </c>
      <c r="E77" s="27">
        <f t="shared" si="23"/>
        <v>14597</v>
      </c>
      <c r="F77" s="27">
        <f t="shared" si="23"/>
        <v>5286</v>
      </c>
      <c r="G77" s="27">
        <f t="shared" si="23"/>
        <v>925</v>
      </c>
      <c r="H77" s="27">
        <f t="shared" si="23"/>
        <v>13192</v>
      </c>
      <c r="I77" s="27">
        <f t="shared" si="23"/>
        <v>-972</v>
      </c>
      <c r="J77" s="27">
        <f t="shared" si="23"/>
        <v>9626</v>
      </c>
      <c r="K77" s="27">
        <f t="shared" si="23"/>
        <v>18522</v>
      </c>
      <c r="L77" s="27">
        <f t="shared" si="23"/>
        <v>15759</v>
      </c>
    </row>
    <row r="79" spans="1:12" x14ac:dyDescent="0.35">
      <c r="B79" s="2" t="s">
        <v>120</v>
      </c>
    </row>
    <row r="80" spans="1:12" x14ac:dyDescent="0.35">
      <c r="B80" t="s">
        <v>102</v>
      </c>
      <c r="C80" s="14">
        <f>IFERROR(DATA!E13,0)</f>
        <v>-2469</v>
      </c>
      <c r="D80" s="14">
        <f>IFERROR(DATA!F13,0)</f>
        <v>-3391</v>
      </c>
      <c r="E80" s="14">
        <f>IFERROR(DATA!G13,0)</f>
        <v>-3912</v>
      </c>
      <c r="F80" s="14">
        <f>IFERROR(DATA!H13,0)</f>
        <v>-4872</v>
      </c>
      <c r="G80" s="14">
        <f>IFERROR(DATA!I13,0)</f>
        <v>-3437</v>
      </c>
      <c r="H80" s="14">
        <f>IFERROR(DATA!J13,0)</f>
        <v>-2370</v>
      </c>
      <c r="I80" s="14">
        <f>IFERROR(DATA!K13,0)</f>
        <v>-3459</v>
      </c>
      <c r="J80" s="14">
        <f>IFERROR(DATA!L13,0)</f>
        <v>-6347</v>
      </c>
      <c r="K80" s="14">
        <f>IFERROR(DATA!M13,0)</f>
        <v>-9200</v>
      </c>
      <c r="L80" s="14">
        <f>IFERROR(DATA!N13,0)</f>
        <v>-10641</v>
      </c>
    </row>
    <row r="81" spans="2:12" x14ac:dyDescent="0.35">
      <c r="B81" t="s">
        <v>103</v>
      </c>
      <c r="C81" s="14">
        <f>IFERROR(DATA!E14,0)</f>
        <v>12</v>
      </c>
      <c r="D81" s="14">
        <f>IFERROR(DATA!F14,0)</f>
        <v>16</v>
      </c>
      <c r="E81" s="14">
        <f>IFERROR(DATA!G14,0)</f>
        <v>26</v>
      </c>
      <c r="F81" s="14">
        <f>IFERROR(DATA!H14,0)</f>
        <v>170</v>
      </c>
      <c r="G81" s="14">
        <f>IFERROR(DATA!I14,0)</f>
        <v>37</v>
      </c>
      <c r="H81" s="14">
        <f>IFERROR(DATA!J14,0)</f>
        <v>42</v>
      </c>
      <c r="I81" s="14">
        <f>IFERROR(DATA!K14,0)</f>
        <v>136</v>
      </c>
      <c r="J81" s="14">
        <f>IFERROR(DATA!L14,0)</f>
        <v>100</v>
      </c>
      <c r="K81" s="14">
        <f>IFERROR(DATA!M14,0)</f>
        <v>45</v>
      </c>
      <c r="L81" s="14">
        <f>IFERROR(DATA!N14,0)</f>
        <v>38</v>
      </c>
    </row>
    <row r="82" spans="2:12" x14ac:dyDescent="0.35">
      <c r="B82" t="s">
        <v>104</v>
      </c>
      <c r="C82" s="14">
        <f>IFERROR(DATA!E15,0)</f>
        <v>-12044</v>
      </c>
      <c r="D82" s="14">
        <f>IFERROR(DATA!F15,0)</f>
        <v>-17716</v>
      </c>
      <c r="E82" s="14">
        <f>IFERROR(DATA!G15,0)</f>
        <v>-47069</v>
      </c>
      <c r="F82" s="14">
        <f>IFERROR(DATA!H15,0)</f>
        <v>-52957</v>
      </c>
      <c r="G82" s="14">
        <f>IFERROR(DATA!I15,0)</f>
        <v>-44205</v>
      </c>
      <c r="H82" s="14">
        <f>IFERROR(DATA!J15,0)</f>
        <v>-44869</v>
      </c>
      <c r="I82" s="14">
        <f>IFERROR(DATA!K15,0)</f>
        <v>-60525</v>
      </c>
      <c r="J82" s="14">
        <f>IFERROR(DATA!L15,0)</f>
        <v>-66597</v>
      </c>
      <c r="K82" s="14">
        <f>IFERROR(DATA!M15,0)</f>
        <v>-65736</v>
      </c>
      <c r="L82" s="14">
        <f>IFERROR(DATA!N15,0)</f>
        <v>-73882</v>
      </c>
    </row>
    <row r="83" spans="2:12" x14ac:dyDescent="0.35">
      <c r="B83" t="s">
        <v>105</v>
      </c>
      <c r="C83" s="14">
        <f>IFERROR(DATA!E16,0)</f>
        <v>7378</v>
      </c>
      <c r="D83" s="14">
        <f>IFERROR(DATA!F16,0)</f>
        <v>11839</v>
      </c>
      <c r="E83" s="14">
        <f>IFERROR(DATA!G16,0)</f>
        <v>42564</v>
      </c>
      <c r="F83" s="14">
        <f>IFERROR(DATA!H16,0)</f>
        <v>53986</v>
      </c>
      <c r="G83" s="14">
        <f>IFERROR(DATA!I16,0)</f>
        <v>46969</v>
      </c>
      <c r="H83" s="14">
        <f>IFERROR(DATA!J16,0)</f>
        <v>42920</v>
      </c>
      <c r="I83" s="14">
        <f>IFERROR(DATA!K16,0)</f>
        <v>63579</v>
      </c>
      <c r="J83" s="14">
        <f>IFERROR(DATA!L16,0)</f>
        <v>61605</v>
      </c>
      <c r="K83" s="14">
        <f>IFERROR(DATA!M16,0)</f>
        <v>61933</v>
      </c>
      <c r="L83" s="14">
        <f>IFERROR(DATA!N16,0)</f>
        <v>69795</v>
      </c>
    </row>
    <row r="84" spans="2:12" x14ac:dyDescent="0.35">
      <c r="B84" t="s">
        <v>106</v>
      </c>
      <c r="C84" s="14">
        <f>IFERROR(DATA!E17,0)</f>
        <v>67</v>
      </c>
      <c r="D84" s="14">
        <f>IFERROR(DATA!F17,0)</f>
        <v>36</v>
      </c>
      <c r="E84" s="14">
        <f>IFERROR(DATA!G17,0)</f>
        <v>68</v>
      </c>
      <c r="F84" s="14">
        <f>IFERROR(DATA!H17,0)</f>
        <v>124</v>
      </c>
      <c r="G84" s="14">
        <f>IFERROR(DATA!I17,0)</f>
        <v>96</v>
      </c>
      <c r="H84" s="14">
        <f>IFERROR(DATA!J17,0)</f>
        <v>67</v>
      </c>
      <c r="I84" s="14">
        <f>IFERROR(DATA!K17,0)</f>
        <v>174</v>
      </c>
      <c r="J84" s="14">
        <f>IFERROR(DATA!L17,0)</f>
        <v>194</v>
      </c>
      <c r="K84" s="14">
        <f>IFERROR(DATA!M17,0)</f>
        <v>372</v>
      </c>
      <c r="L84" s="14">
        <f>IFERROR(DATA!N17,0)</f>
        <v>444</v>
      </c>
    </row>
    <row r="85" spans="2:12" x14ac:dyDescent="0.35">
      <c r="B85" t="s">
        <v>107</v>
      </c>
      <c r="C85" s="14">
        <f>IFERROR(DATA!E18,0)</f>
        <v>11</v>
      </c>
      <c r="D85" s="14">
        <f>IFERROR(DATA!F18,0)</f>
        <v>13</v>
      </c>
      <c r="E85" s="14">
        <f>IFERROR(DATA!G18,0)</f>
        <v>20</v>
      </c>
      <c r="F85" s="14">
        <f>IFERROR(DATA!H18,0)</f>
        <v>9</v>
      </c>
      <c r="G85" s="14">
        <f>IFERROR(DATA!I18,0)</f>
        <v>4</v>
      </c>
      <c r="H85" s="14">
        <f>IFERROR(DATA!J18,0)</f>
        <v>3</v>
      </c>
      <c r="I85" s="14">
        <f>IFERROR(DATA!K18,0)</f>
        <v>3</v>
      </c>
      <c r="J85" s="14">
        <f>IFERROR(DATA!L18,0)</f>
        <v>6</v>
      </c>
      <c r="K85" s="14">
        <f>IFERROR(DATA!M18,0)</f>
        <v>6</v>
      </c>
      <c r="L85" s="14">
        <f>IFERROR(DATA!N18,0)</f>
        <v>9</v>
      </c>
    </row>
    <row r="86" spans="2:12" x14ac:dyDescent="0.35">
      <c r="B86" t="s">
        <v>108</v>
      </c>
      <c r="C86" s="14">
        <f>IFERROR(DATA!E19,0)</f>
        <v>0</v>
      </c>
      <c r="D86" s="14">
        <f>IFERROR(DATA!F19,0)</f>
        <v>22</v>
      </c>
      <c r="E86" s="14">
        <f>IFERROR(DATA!G19,0)</f>
        <v>0</v>
      </c>
      <c r="F86" s="14">
        <f>IFERROR(DATA!H19,0)</f>
        <v>0</v>
      </c>
      <c r="G86" s="14">
        <f>IFERROR(DATA!I19,0)</f>
        <v>0</v>
      </c>
      <c r="H86" s="14">
        <f>IFERROR(DATA!J19,0)</f>
        <v>0</v>
      </c>
      <c r="I86" s="14">
        <f>IFERROR(DATA!K19,0)</f>
        <v>0</v>
      </c>
      <c r="J86" s="14">
        <f>IFERROR(DATA!L19,0)</f>
        <v>0</v>
      </c>
      <c r="K86" s="14">
        <f>IFERROR(DATA!M19,0)</f>
        <v>0</v>
      </c>
      <c r="L86" s="14">
        <f>IFERROR(DATA!N19,0)</f>
        <v>0</v>
      </c>
    </row>
    <row r="87" spans="2:12" x14ac:dyDescent="0.35">
      <c r="B87" t="s">
        <v>109</v>
      </c>
      <c r="C87" s="14">
        <f>IFERROR(DATA!E20,0)</f>
        <v>0</v>
      </c>
      <c r="D87" s="14">
        <f>IFERROR(DATA!F20,0)</f>
        <v>0</v>
      </c>
      <c r="E87" s="14">
        <f>IFERROR(DATA!G20,0)</f>
        <v>0</v>
      </c>
      <c r="F87" s="14">
        <f>IFERROR(DATA!H20,0)</f>
        <v>0</v>
      </c>
      <c r="G87" s="14">
        <f>IFERROR(DATA!I20,0)</f>
        <v>-15</v>
      </c>
      <c r="H87" s="14">
        <f>IFERROR(DATA!J20,0)</f>
        <v>-65</v>
      </c>
      <c r="I87" s="14">
        <f>IFERROR(DATA!K20,0)</f>
        <v>-146</v>
      </c>
      <c r="J87" s="14">
        <f>IFERROR(DATA!L20,0)</f>
        <v>0</v>
      </c>
      <c r="K87" s="14">
        <f>IFERROR(DATA!M20,0)</f>
        <v>-80</v>
      </c>
      <c r="L87" s="14">
        <f>IFERROR(DATA!N20,0)</f>
        <v>-18</v>
      </c>
    </row>
    <row r="88" spans="2:12" x14ac:dyDescent="0.35">
      <c r="B88" t="s">
        <v>110</v>
      </c>
      <c r="C88" s="14">
        <f>IFERROR(DATA!E21,0)</f>
        <v>-186</v>
      </c>
      <c r="D88" s="14">
        <f>IFERROR(DATA!F21,0)</f>
        <v>7</v>
      </c>
      <c r="E88" s="14">
        <f>IFERROR(DATA!G21,0)</f>
        <v>0</v>
      </c>
      <c r="F88" s="14">
        <f>IFERROR(DATA!H21,0)</f>
        <v>0</v>
      </c>
      <c r="G88" s="14">
        <f>IFERROR(DATA!I21,0)</f>
        <v>-5</v>
      </c>
      <c r="H88" s="14">
        <f>IFERROR(DATA!J21,0)</f>
        <v>-3019</v>
      </c>
      <c r="I88" s="14">
        <f>IFERROR(DATA!K21,0)</f>
        <v>-1</v>
      </c>
      <c r="J88" s="14">
        <f>IFERROR(DATA!L21,0)</f>
        <v>3003</v>
      </c>
      <c r="K88" s="14">
        <f>IFERROR(DATA!M21,0)</f>
        <v>795</v>
      </c>
      <c r="L88" s="14">
        <f>IFERROR(DATA!N21,0)</f>
        <v>-201</v>
      </c>
    </row>
    <row r="89" spans="2:12" x14ac:dyDescent="0.35">
      <c r="B89" s="2" t="s">
        <v>121</v>
      </c>
      <c r="C89" s="27">
        <f>IFERROR(SUM(C80:C88),0)</f>
        <v>-7231</v>
      </c>
      <c r="D89" s="27">
        <f t="shared" ref="D89:L89" si="24">IFERROR(SUM(D80:D88),0)</f>
        <v>-9174</v>
      </c>
      <c r="E89" s="27">
        <f t="shared" si="24"/>
        <v>-8303</v>
      </c>
      <c r="F89" s="27">
        <f t="shared" si="24"/>
        <v>-3540</v>
      </c>
      <c r="G89" s="27">
        <f t="shared" si="24"/>
        <v>-556</v>
      </c>
      <c r="H89" s="27">
        <f t="shared" si="24"/>
        <v>-7291</v>
      </c>
      <c r="I89" s="27">
        <f t="shared" si="24"/>
        <v>-239</v>
      </c>
      <c r="J89" s="27">
        <f t="shared" si="24"/>
        <v>-8036</v>
      </c>
      <c r="K89" s="27">
        <f t="shared" si="24"/>
        <v>-11865</v>
      </c>
      <c r="L89" s="27">
        <f t="shared" si="24"/>
        <v>-14456</v>
      </c>
    </row>
    <row r="91" spans="2:12" x14ac:dyDescent="0.35">
      <c r="B91" s="2" t="s">
        <v>122</v>
      </c>
    </row>
    <row r="92" spans="2:12" x14ac:dyDescent="0.35">
      <c r="B92" t="s">
        <v>112</v>
      </c>
      <c r="C92" s="14">
        <f>IFERROR(DATA!E25,0)</f>
        <v>-92</v>
      </c>
      <c r="D92" s="14">
        <f>IFERROR(DATA!F25,0)</f>
        <v>-110</v>
      </c>
      <c r="E92" s="14">
        <f>IFERROR(DATA!G25,0)</f>
        <v>-346</v>
      </c>
      <c r="F92" s="14">
        <f>IFERROR(DATA!H25,0)</f>
        <v>-73</v>
      </c>
      <c r="G92" s="14">
        <f>IFERROR(DATA!I25,0)</f>
        <v>-136</v>
      </c>
      <c r="H92" s="14">
        <f>IFERROR(DATA!J25,0)</f>
        <v>-102</v>
      </c>
      <c r="I92" s="14">
        <f>IFERROR(DATA!K25,0)</f>
        <v>-130</v>
      </c>
      <c r="J92" s="14">
        <f>IFERROR(DATA!L25,0)</f>
        <v>-186</v>
      </c>
      <c r="K92" s="14">
        <f>IFERROR(DATA!M25,0)</f>
        <v>-147</v>
      </c>
      <c r="L92" s="14">
        <f>IFERROR(DATA!N25,0)</f>
        <v>-167</v>
      </c>
    </row>
    <row r="93" spans="2:12" x14ac:dyDescent="0.35">
      <c r="B93" t="s">
        <v>113</v>
      </c>
      <c r="C93" s="14">
        <f>IFERROR(DATA!E26,0)</f>
        <v>-755</v>
      </c>
      <c r="D93" s="14">
        <f>IFERROR(DATA!F26,0)</f>
        <v>-1057</v>
      </c>
      <c r="E93" s="14">
        <f>IFERROR(DATA!G26,0)</f>
        <v>-2266</v>
      </c>
      <c r="F93" s="14">
        <f>IFERROR(DATA!H26,0)</f>
        <v>-2417</v>
      </c>
      <c r="G93" s="14">
        <f>IFERROR(DATA!I26,0)</f>
        <v>-2417</v>
      </c>
      <c r="H93" s="14">
        <f>IFERROR(DATA!J26,0)</f>
        <v>-1812</v>
      </c>
      <c r="I93" s="14">
        <f>IFERROR(DATA!K26,0)</f>
        <v>-1359</v>
      </c>
      <c r="J93" s="14">
        <f>IFERROR(DATA!L26,0)</f>
        <v>-1812</v>
      </c>
      <c r="K93" s="14">
        <f>IFERROR(DATA!M26,0)</f>
        <v>-2719</v>
      </c>
      <c r="L93" s="14">
        <f>IFERROR(DATA!N26,0)</f>
        <v>-3930</v>
      </c>
    </row>
    <row r="94" spans="2:12" x14ac:dyDescent="0.35">
      <c r="B94" t="s">
        <v>114</v>
      </c>
      <c r="C94" s="14">
        <f>IFERROR(DATA!E27,0)</f>
        <v>0</v>
      </c>
      <c r="D94" s="14">
        <f>IFERROR(DATA!F27,0)</f>
        <v>0</v>
      </c>
      <c r="E94" s="14">
        <f>IFERROR(DATA!G27,0)</f>
        <v>0</v>
      </c>
      <c r="F94" s="14">
        <f>IFERROR(DATA!H27,0)</f>
        <v>0</v>
      </c>
      <c r="G94" s="14">
        <f>IFERROR(DATA!I27,0)</f>
        <v>-10</v>
      </c>
      <c r="H94" s="14">
        <f>IFERROR(DATA!J27,0)</f>
        <v>-11</v>
      </c>
      <c r="I94" s="14">
        <f>IFERROR(DATA!K27,0)</f>
        <v>-8</v>
      </c>
      <c r="J94" s="14">
        <f>IFERROR(DATA!L27,0)</f>
        <v>-46</v>
      </c>
      <c r="K94" s="14">
        <f>IFERROR(DATA!M27,0)</f>
        <v>-13</v>
      </c>
      <c r="L94" s="14">
        <f>IFERROR(DATA!N27,0)</f>
        <v>-25</v>
      </c>
    </row>
    <row r="95" spans="2:12" x14ac:dyDescent="0.35">
      <c r="B95" t="s">
        <v>115</v>
      </c>
      <c r="C95" s="14">
        <f>IFERROR(DATA!E28,0)</f>
        <v>-154</v>
      </c>
      <c r="D95" s="14">
        <f>IFERROR(DATA!F28,0)</f>
        <v>-215</v>
      </c>
      <c r="E95" s="14">
        <f>IFERROR(DATA!G28,0)</f>
        <v>-461</v>
      </c>
      <c r="F95" s="14">
        <f>IFERROR(DATA!H28,0)</f>
        <v>-497</v>
      </c>
      <c r="G95" s="14">
        <f>IFERROR(DATA!I28,0)</f>
        <v>-497</v>
      </c>
      <c r="H95" s="14">
        <f>IFERROR(DATA!J28,0)</f>
        <v>0</v>
      </c>
      <c r="I95" s="14">
        <f>IFERROR(DATA!K28,0)</f>
        <v>0</v>
      </c>
      <c r="J95" s="14">
        <f>IFERROR(DATA!L28,0)</f>
        <v>0</v>
      </c>
      <c r="K95" s="14">
        <f>IFERROR(DATA!M28,0)</f>
        <v>0</v>
      </c>
      <c r="L95" s="14">
        <f>IFERROR(DATA!N28,0)</f>
        <v>0</v>
      </c>
    </row>
    <row r="96" spans="2:12" x14ac:dyDescent="0.35">
      <c r="B96" t="s">
        <v>116</v>
      </c>
      <c r="C96" s="14">
        <f>IFERROR(DATA!E29,0)</f>
        <v>16</v>
      </c>
      <c r="D96" s="14">
        <f>IFERROR(DATA!F29,0)</f>
        <v>-20</v>
      </c>
      <c r="E96" s="14">
        <f>IFERROR(DATA!G29,0)</f>
        <v>50</v>
      </c>
      <c r="F96" s="14">
        <f>IFERROR(DATA!H29,0)</f>
        <v>113</v>
      </c>
      <c r="G96" s="14">
        <f>IFERROR(DATA!I29,0)</f>
        <v>-165</v>
      </c>
      <c r="H96" s="14">
        <f>IFERROR(DATA!J29,0)</f>
        <v>20</v>
      </c>
      <c r="I96" s="14">
        <f>IFERROR(DATA!K29,0)</f>
        <v>-6</v>
      </c>
      <c r="J96" s="14">
        <f>IFERROR(DATA!L29,0)</f>
        <v>2</v>
      </c>
      <c r="K96" s="14">
        <f>IFERROR(DATA!M29,0)</f>
        <v>874</v>
      </c>
      <c r="L96" s="14">
        <f>IFERROR(DATA!N29,0)</f>
        <v>-2475</v>
      </c>
    </row>
    <row r="97" spans="2:12" x14ac:dyDescent="0.35">
      <c r="B97" t="s">
        <v>117</v>
      </c>
      <c r="C97" s="14">
        <f>IFERROR(DATA!E30,0)</f>
        <v>0</v>
      </c>
      <c r="D97" s="14">
        <f>IFERROR(DATA!F30,0)</f>
        <v>0</v>
      </c>
      <c r="E97" s="14">
        <f>IFERROR(DATA!G30,0)</f>
        <v>0</v>
      </c>
      <c r="F97" s="14">
        <f>IFERROR(DATA!H30,0)</f>
        <v>0</v>
      </c>
      <c r="G97" s="14">
        <f>IFERROR(DATA!I30,0)</f>
        <v>0</v>
      </c>
      <c r="H97" s="14">
        <f>IFERROR(DATA!J30,0)</f>
        <v>0</v>
      </c>
      <c r="I97" s="14">
        <f>IFERROR(DATA!K30,0)</f>
        <v>0</v>
      </c>
      <c r="J97" s="14">
        <f>IFERROR(DATA!L30,0)</f>
        <v>0</v>
      </c>
      <c r="K97" s="14">
        <f>IFERROR(DATA!M30,0)</f>
        <v>0</v>
      </c>
      <c r="L97" s="14">
        <f>IFERROR(DATA!N30,0)</f>
        <v>0</v>
      </c>
    </row>
    <row r="98" spans="2:12" x14ac:dyDescent="0.35">
      <c r="B98" s="2" t="s">
        <v>123</v>
      </c>
      <c r="C98" s="27">
        <f>IFERROR(SUM(C92:C97),0)</f>
        <v>-985</v>
      </c>
      <c r="D98" s="27">
        <f t="shared" ref="D98:L98" si="25">IFERROR(SUM(D92:D97),0)</f>
        <v>-1402</v>
      </c>
      <c r="E98" s="27">
        <f t="shared" si="25"/>
        <v>-3023</v>
      </c>
      <c r="F98" s="27">
        <f t="shared" si="25"/>
        <v>-2874</v>
      </c>
      <c r="G98" s="27">
        <f t="shared" si="25"/>
        <v>-3225</v>
      </c>
      <c r="H98" s="27">
        <f t="shared" si="25"/>
        <v>-1905</v>
      </c>
      <c r="I98" s="27">
        <f t="shared" si="25"/>
        <v>-1503</v>
      </c>
      <c r="J98" s="27">
        <f t="shared" si="25"/>
        <v>-2042</v>
      </c>
      <c r="K98" s="27">
        <f t="shared" si="25"/>
        <v>-2005</v>
      </c>
      <c r="L98" s="27">
        <f t="shared" si="25"/>
        <v>-6597</v>
      </c>
    </row>
    <row r="100" spans="2:12" x14ac:dyDescent="0.35">
      <c r="B100" s="2" t="s">
        <v>124</v>
      </c>
      <c r="C100" s="27">
        <f>IFERROR(C77+C89+C98,0)</f>
        <v>1726</v>
      </c>
      <c r="D100" s="27">
        <f t="shared" ref="D100:L100" si="26">IFERROR(D77+D89+D98,0)</f>
        <v>1899</v>
      </c>
      <c r="E100" s="27">
        <f t="shared" si="26"/>
        <v>3271</v>
      </c>
      <c r="F100" s="27">
        <f t="shared" si="26"/>
        <v>-1128</v>
      </c>
      <c r="G100" s="27">
        <f t="shared" si="26"/>
        <v>-2856</v>
      </c>
      <c r="H100" s="27">
        <f t="shared" si="26"/>
        <v>3996</v>
      </c>
      <c r="I100" s="27">
        <f t="shared" si="26"/>
        <v>-2714</v>
      </c>
      <c r="J100" s="27">
        <f t="shared" si="26"/>
        <v>-452</v>
      </c>
      <c r="K100" s="27">
        <f t="shared" si="26"/>
        <v>4652</v>
      </c>
      <c r="L100" s="27">
        <f t="shared" si="26"/>
        <v>-5294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20 M2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CC70-85E6-4CDC-AF8C-2AAE6F9DB68B}">
  <sheetPr>
    <tabColor theme="1"/>
  </sheetPr>
  <dimension ref="B2:O40"/>
  <sheetViews>
    <sheetView showGridLines="0" workbookViewId="0">
      <selection activeCell="M11" sqref="M11"/>
    </sheetView>
  </sheetViews>
  <sheetFormatPr defaultRowHeight="14.5" x14ac:dyDescent="0.35"/>
  <cols>
    <col min="1" max="1" width="1.81640625" customWidth="1"/>
    <col min="2" max="2" width="25.36328125" bestFit="1" customWidth="1"/>
    <col min="3" max="3" width="12.36328125" bestFit="1" customWidth="1"/>
    <col min="5" max="6" width="9.81640625" bestFit="1" customWidth="1"/>
    <col min="11" max="12" width="9.81640625" bestFit="1" customWidth="1"/>
    <col min="13" max="13" width="6.453125" bestFit="1" customWidth="1"/>
  </cols>
  <sheetData>
    <row r="2" spans="2:15" x14ac:dyDescent="0.35">
      <c r="B2" s="141" t="str">
        <f>"RATIO ANALYSIS - "&amp;'Data Sheet'!B1</f>
        <v>RATIO ANALYSIS - MARUTI SUZUKI INDIA LTD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2:15" x14ac:dyDescent="0.35"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155</v>
      </c>
      <c r="N3" s="10" t="s">
        <v>156</v>
      </c>
      <c r="O3" s="10" t="s">
        <v>157</v>
      </c>
    </row>
    <row r="5" spans="2:15" x14ac:dyDescent="0.35">
      <c r="B5" t="s">
        <v>125</v>
      </c>
      <c r="C5" s="28" t="s">
        <v>83</v>
      </c>
      <c r="D5" s="29">
        <f>IFERROR(HISTORIACLFINANCIALS!D6,0)</f>
        <v>0.18225702825192314</v>
      </c>
      <c r="E5" s="29">
        <f>IFERROR(HISTORIACLFINANCIALS!E6,0)</f>
        <v>0.17220239406624072</v>
      </c>
      <c r="F5" s="29">
        <f>IFERROR(HISTORIACLFINANCIALS!F6,0)</f>
        <v>7.8425598989592782E-2</v>
      </c>
      <c r="G5" s="29">
        <f>IFERROR(HISTORIACLFINANCIALS!G6,0)</f>
        <v>-0.12093274542951249</v>
      </c>
      <c r="H5" s="29">
        <f>IFERROR(HISTORIACLFINANCIALS!H6,0)</f>
        <v>-6.9891620407084298E-2</v>
      </c>
      <c r="I5" s="29">
        <f>IFERROR(HISTORIACLFINANCIALS!I6,0)</f>
        <v>0.25518387995225389</v>
      </c>
      <c r="J5" s="29">
        <f>IFERROR(HISTORIACLFINANCIALS!J6,0)</f>
        <v>0.3310490910202446</v>
      </c>
      <c r="K5" s="29">
        <f>IFERROR(HISTORIACLFINANCIALS!K6,0)</f>
        <v>0.20657167182807368</v>
      </c>
      <c r="L5" s="29">
        <f>IFERROR(HISTORIACLFINANCIALS!L6,0)</f>
        <v>7.7928522989858751E-2</v>
      </c>
      <c r="N5" s="15">
        <f>IFERROR(AVERAGE(D5:L5),0)</f>
        <v>0.12364375791795454</v>
      </c>
      <c r="O5" s="15">
        <f>IFERROR(MEDIAN(D5:L5),0)</f>
        <v>0.17220239406624072</v>
      </c>
    </row>
    <row r="6" spans="2:15" x14ac:dyDescent="0.35">
      <c r="B6" t="s">
        <v>126</v>
      </c>
      <c r="D6" s="29">
        <f>IFERROR(HISTORIACLFINANCIALS!D17/HISTORIACLFINANCIALS!C17-1,0)</f>
        <v>0.15482984452743276</v>
      </c>
      <c r="E6" s="29">
        <f>IFERROR(HISTORIACLFINANCIALS!E17/HISTORIACLFINANCIALS!D17-1,0)</f>
        <v>0.16280118603245164</v>
      </c>
      <c r="F6" s="29">
        <f>IFERROR(HISTORIACLFINANCIALS!F17/HISTORIACLFINANCIALS!E17-1,0)</f>
        <v>-8.7605938322645405E-2</v>
      </c>
      <c r="G6" s="29">
        <f>IFERROR(HISTORIACLFINANCIALS!G17/HISTORIACLFINANCIALS!F17-1,0)</f>
        <v>-0.33476841257925349</v>
      </c>
      <c r="H6" s="29">
        <f>IFERROR(HISTORIACLFINANCIALS!H17/HISTORIACLFINANCIALS!G17-1,0)</f>
        <v>-0.26436437797416712</v>
      </c>
      <c r="I6" s="29">
        <f>IFERROR(HISTORIACLFINANCIALS!I17/HISTORIACLFINANCIALS!H17-1,0)</f>
        <v>6.3098362473665182E-2</v>
      </c>
      <c r="J6" s="29">
        <f>IFERROR(HISTORIACLFINANCIALS!J17/HISTORIACLFINANCIALS!I17-1,0)</f>
        <v>0.91745479833100996</v>
      </c>
      <c r="K6" s="29">
        <f>IFERROR(HISTORIACLFINANCIALS!K17/HISTORIACLFINANCIALS!J17-1,0)</f>
        <v>0.68881695861894054</v>
      </c>
      <c r="L6" s="29">
        <f>IFERROR(HISTORIACLFINANCIALS!L17/HISTORIACLFINANCIALS!K17-1,0)</f>
        <v>8.5755088235451193E-2</v>
      </c>
      <c r="N6" s="15">
        <f t="shared" ref="N6:N9" si="0">IFERROR(AVERAGE(D6:L6),0)</f>
        <v>0.15400194548254281</v>
      </c>
      <c r="O6" s="15">
        <f t="shared" ref="O6:O9" si="1">IFERROR(MEDIAN(D6:L6),0)</f>
        <v>8.5755088235451193E-2</v>
      </c>
    </row>
    <row r="7" spans="2:15" x14ac:dyDescent="0.35">
      <c r="B7" t="s">
        <v>127</v>
      </c>
      <c r="D7" s="15">
        <f>IFERROR(HISTORIACLFINANCIALS!D26/HISTORIACLFINANCIALS!C26-1,0)</f>
        <v>0.19334288651443954</v>
      </c>
      <c r="E7" s="15">
        <f>IFERROR(HISTORIACLFINANCIALS!E26/HISTORIACLFINANCIALS!D26-1,0)</f>
        <v>0.18737845069503223</v>
      </c>
      <c r="F7" s="15">
        <f>IFERROR(HISTORIACLFINANCIALS!F26/HISTORIACLFINANCIALS!E26-1,0)</f>
        <v>-0.17249453122423486</v>
      </c>
      <c r="G7" s="15">
        <f>IFERROR(HISTORIACLFINANCIALS!G26/HISTORIACLFINANCIALS!F26-1,0)</f>
        <v>-0.42601522336906716</v>
      </c>
      <c r="H7" s="15">
        <f>IFERROR(HISTORIACLFINANCIALS!H26/HISTORIACLFINANCIALS!G26-1,0)</f>
        <v>-0.39327454928371375</v>
      </c>
      <c r="I7" s="15">
        <f>IFERROR(HISTORIACLFINANCIALS!I26/HISTORIACLFINANCIALS!H26-1,0)</f>
        <v>0.1162267317668646</v>
      </c>
      <c r="J7" s="15">
        <f>IFERROR(HISTORIACLFINANCIALS!J26/HISTORIACLFINANCIALS!I26-1,0)</f>
        <v>0.97293510576494824</v>
      </c>
      <c r="K7" s="15">
        <f>IFERROR(HISTORIACLFINANCIALS!K26/HISTORIACLFINANCIALS!J26-1,0)</f>
        <v>1.2548411681158451</v>
      </c>
      <c r="L7" s="15">
        <f>IFERROR(HISTORIACLFINANCIALS!L26/HISTORIACLFINANCIALS!K26-1,0)</f>
        <v>0.5534985904241001</v>
      </c>
      <c r="N7" s="15">
        <f t="shared" si="0"/>
        <v>0.25404873660046823</v>
      </c>
      <c r="O7" s="15">
        <f t="shared" si="1"/>
        <v>0.18737845069503223</v>
      </c>
    </row>
    <row r="8" spans="2:15" x14ac:dyDescent="0.35">
      <c r="B8" t="s">
        <v>128</v>
      </c>
      <c r="D8" s="15">
        <f>IFERROR(HISTORIACLFINANCIALS!D32/HISTORIACLFINANCIALS!C32-1,0)</f>
        <v>0.16447019179726374</v>
      </c>
      <c r="E8" s="15">
        <f>IFERROR(HISTORIACLFINANCIALS!E32/HISTORIACLFINANCIALS!D32-1,0)</f>
        <v>0.1517451885913601</v>
      </c>
      <c r="F8" s="15">
        <f>IFERROR(HISTORIACLFINANCIALS!F32/HISTORIACLFINANCIALS!E32-1,0)</f>
        <v>-0.21617993770327948</v>
      </c>
      <c r="G8" s="15">
        <f>IFERROR(HISTORIACLFINANCIALS!G32/HISTORIACLFINANCIALS!F32-1,0)</f>
        <v>-0.36423913759413362</v>
      </c>
      <c r="H8" s="15">
        <f>IFERROR(HISTORIACLFINANCIALS!H32/HISTORIACLFINANCIALS!G32-1,0)</f>
        <v>-0.41647960769416681</v>
      </c>
      <c r="I8" s="15">
        <f>IFERROR(HISTORIACLFINANCIALS!I32/HISTORIACLFINANCIALS!H32-1,0)</f>
        <v>0.24791383085755592</v>
      </c>
      <c r="J8" s="15">
        <f>IFERROR(HISTORIACLFINANCIALS!J32/HISTORIACLFINANCIALS!I32-1,0)</f>
        <v>0.73636536090295501</v>
      </c>
      <c r="K8" s="15">
        <f>IFERROR(HISTORIACLFINANCIALS!K32/HISTORIACLFINANCIALS!J32-1,0)</f>
        <v>1.4804850736077406</v>
      </c>
      <c r="L8" s="15">
        <f>IFERROR(HISTORIACLFINANCIALS!L32/HISTORIACLFINANCIALS!K32-1,0)</f>
        <v>0.66308441057939804</v>
      </c>
      <c r="N8" s="15">
        <f t="shared" si="0"/>
        <v>0.27190726370496593</v>
      </c>
      <c r="O8" s="15">
        <f t="shared" si="1"/>
        <v>0.16447019179726374</v>
      </c>
    </row>
    <row r="9" spans="2:15" x14ac:dyDescent="0.35">
      <c r="B9" t="s">
        <v>129</v>
      </c>
      <c r="D9" s="15">
        <f>IFERROR(HISTORIACLFINANCIALS!D40/HISTORIACLFINANCIALS!C40-1,0)</f>
        <v>1.1428571428571428</v>
      </c>
      <c r="E9" s="15">
        <f>IFERROR(HISTORIACLFINANCIALS!E40/HISTORIACLFINANCIALS!D40-1,0)</f>
        <v>6.6666666666666652E-2</v>
      </c>
      <c r="F9" s="15">
        <f>IFERROR(HISTORIACLFINANCIALS!F40/HISTORIACLFINANCIALS!E40-1,0)</f>
        <v>0</v>
      </c>
      <c r="G9" s="15">
        <f>IFERROR(HISTORIACLFINANCIALS!G40/HISTORIACLFINANCIALS!F40-1,0)</f>
        <v>-0.25</v>
      </c>
      <c r="H9" s="15">
        <f>IFERROR(HISTORIACLFINANCIALS!H40/HISTORIACLFINANCIALS!G40-1,0)</f>
        <v>-0.25</v>
      </c>
      <c r="I9" s="15">
        <f>IFERROR(HISTORIACLFINANCIALS!I40/HISTORIACLFINANCIALS!H40-1,0)</f>
        <v>0.33333333333333326</v>
      </c>
      <c r="J9" s="15">
        <f>IFERROR(HISTORIACLFINANCIALS!J40/HISTORIACLFINANCIALS!I40-1,0)</f>
        <v>0.5</v>
      </c>
      <c r="K9" s="15">
        <f>IFERROR(HISTORIACLFINANCIALS!K40/HISTORIACLFINANCIALS!J40-1,0)</f>
        <v>0.38934878587196486</v>
      </c>
      <c r="L9" s="15">
        <f>IFERROR(HISTORIACLFINANCIALS!L40/HISTORIACLFINANCIALS!K40-1,0)</f>
        <v>7.9999999999999849E-2</v>
      </c>
      <c r="N9" s="15">
        <f t="shared" si="0"/>
        <v>0.22357843652545639</v>
      </c>
      <c r="O9" s="15">
        <f t="shared" si="1"/>
        <v>7.9999999999999849E-2</v>
      </c>
    </row>
    <row r="10" spans="2:15" x14ac:dyDescent="0.35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2:15" x14ac:dyDescent="0.35">
      <c r="B11" t="s">
        <v>130</v>
      </c>
      <c r="C11" s="29">
        <f>HISTORIACLFINANCIALS!C12</f>
        <v>0.27367726475542198</v>
      </c>
      <c r="D11" s="29">
        <f>HISTORIACLFINANCIALS!D12</f>
        <v>0.26556510244547255</v>
      </c>
      <c r="E11" s="29">
        <f>HISTORIACLFINANCIALS!E12</f>
        <v>0.2609266577621181</v>
      </c>
      <c r="F11" s="29">
        <f>HISTORIACLFINANCIALS!F12</f>
        <v>0.25428931606801564</v>
      </c>
      <c r="G11" s="29">
        <f>HISTORIACLFINANCIALS!G12</f>
        <v>0.23794475284166008</v>
      </c>
      <c r="H11" s="29">
        <f>HISTORIACLFINANCIALS!H12</f>
        <v>0.21253339396350823</v>
      </c>
      <c r="I11" s="29">
        <f>HISTORIACLFINANCIALS!I12</f>
        <v>0.18964154792606813</v>
      </c>
      <c r="J11" s="29">
        <f>HISTORIACLFINANCIALS!J12</f>
        <v>0.21072489629697042</v>
      </c>
      <c r="K11" s="29">
        <f>HISTORIACLFINANCIALS!K12</f>
        <v>0.23856921912162998</v>
      </c>
      <c r="L11" s="29">
        <f>HISTORIACLFINANCIALS!L12</f>
        <v>0.23117197360590661</v>
      </c>
      <c r="N11" s="15">
        <f>IFERROR(AVERAGE(C11:L11),0)</f>
        <v>0.23750441247867721</v>
      </c>
      <c r="O11" s="15">
        <f>IFERROR(MEDIAN(C11:L11),0)</f>
        <v>0.23825698598164502</v>
      </c>
    </row>
    <row r="12" spans="2:15" x14ac:dyDescent="0.35">
      <c r="B12" t="s">
        <v>131</v>
      </c>
      <c r="C12" s="29">
        <f>HISTORIACLFINANCIALS!C18</f>
        <v>0.15669832780565723</v>
      </c>
      <c r="D12" s="29">
        <f>HISTORIACLFINANCIALS!D18</f>
        <v>0.15306308291106704</v>
      </c>
      <c r="E12" s="29">
        <f>HISTORIACLFINANCIALS!E18</f>
        <v>0.15183549807416152</v>
      </c>
      <c r="F12" s="29">
        <f>HISTORIACLFINANCIALS!F18</f>
        <v>0.12845930857398472</v>
      </c>
      <c r="G12" s="29">
        <f>HISTORIACLFINANCIALS!G18</f>
        <v>9.7211208035950333E-2</v>
      </c>
      <c r="H12" s="29">
        <f>HISTORIACLFINANCIALS!H18</f>
        <v>7.6885693173421282E-2</v>
      </c>
      <c r="I12" s="29">
        <f>HISTORIACLFINANCIALS!I18</f>
        <v>6.5119585915512257E-2</v>
      </c>
      <c r="J12" s="29">
        <f>HISTORIACLFINANCIALS!J18</f>
        <v>9.3808608053155801E-2</v>
      </c>
      <c r="K12" s="29">
        <f>HISTORIACLFINANCIALS!K18</f>
        <v>0.13130224407189722</v>
      </c>
      <c r="L12" s="29">
        <f>HISTORIACLFINANCIALS!L18</f>
        <v>0.13225559631947578</v>
      </c>
      <c r="N12" s="15">
        <f t="shared" ref="N12:N40" si="2">IFERROR(AVERAGE(C12:L12),0)</f>
        <v>0.11866391529342832</v>
      </c>
      <c r="O12" s="15">
        <f t="shared" ref="O12:O40" si="3">IFERROR(MEDIAN(C12:L12),0)</f>
        <v>0.12988077632294098</v>
      </c>
    </row>
    <row r="13" spans="2:15" x14ac:dyDescent="0.35">
      <c r="B13" t="s">
        <v>132</v>
      </c>
      <c r="C13" s="15">
        <f>IFERROR(HISTORIACLFINANCIALS!C17-HISTORIACLFINANCIALS!C23,0)/HISTORIACLFINANCIALS!C5-1</f>
        <v>-0.8885169042699127</v>
      </c>
      <c r="D13" s="15">
        <f>IFERROR(HISTORIACLFINANCIALS!D17-HISTORIACLFINANCIALS!D23,0)/HISTORIACLFINANCIALS!D5-1</f>
        <v>-0.88747154292428587</v>
      </c>
      <c r="E13" s="15">
        <f>IFERROR(HISTORIACLFINANCIALS!E17-HISTORIACLFINANCIALS!E23,0)/HISTORIACLFINANCIALS!E5-1</f>
        <v>-0.88601467997504069</v>
      </c>
      <c r="F13" s="15">
        <f>IFERROR(HISTORIACLFINANCIALS!F17-HISTORIACLFINANCIALS!F23,0)/HISTORIACLFINANCIALS!F5-1</f>
        <v>-0.91253594520643433</v>
      </c>
      <c r="G13" s="15">
        <f>IFERROR(HISTORIACLFINANCIALS!G17-HISTORIACLFINANCIALS!G23,0)/HISTORIACLFINANCIALS!G5-1</f>
        <v>-0.94289056304520225</v>
      </c>
      <c r="H13" s="15">
        <f>IFERROR(HISTORIACLFINANCIALS!H17-HISTORIACLFINANCIALS!H23,0)/HISTORIACLFINANCIALS!H5-1</f>
        <v>-0.96274654692207129</v>
      </c>
      <c r="I13" s="15">
        <f>IFERROR(HISTORIACLFINANCIALS!I17-HISTORIACLFINANCIALS!I23,0)/HISTORIACLFINANCIALS!I5-1</f>
        <v>-0.96687075030170999</v>
      </c>
      <c r="J13" s="15">
        <f>IFERROR(HISTORIACLFINANCIALS!J17-HISTORIACLFINANCIALS!J23,0)/HISTORIACLFINANCIALS!J5-1</f>
        <v>-0.95089447849942976</v>
      </c>
      <c r="K13" s="15">
        <f>IFERROR(HISTORIACLFINANCIALS!K17-HISTORIACLFINANCIALS!K23,0)/HISTORIACLFINANCIALS!K5-1</f>
        <v>-0.90823160028817496</v>
      </c>
      <c r="L13" s="15">
        <f>IFERROR(HISTORIACLFINANCIALS!L17-HISTORIACLFINANCIALS!L23,0)/HISTORIACLFINANCIALS!L5-1</f>
        <v>-0.86774440368052419</v>
      </c>
      <c r="N13" s="15">
        <f t="shared" si="2"/>
        <v>-0.91739174151127845</v>
      </c>
      <c r="O13" s="15">
        <f t="shared" si="3"/>
        <v>-0.91038377274730464</v>
      </c>
    </row>
    <row r="14" spans="2:15" x14ac:dyDescent="0.35">
      <c r="B14" t="s">
        <v>133</v>
      </c>
      <c r="C14" s="29">
        <f>HISTORIACLFINANCIALS!C27</f>
        <v>0.11148309573008726</v>
      </c>
      <c r="D14" s="29">
        <f>HISTORIACLFINANCIALS!D27</f>
        <v>0.11252845707571417</v>
      </c>
      <c r="E14" s="29">
        <f>HISTORIACLFINANCIALS!E27</f>
        <v>0.11398532002495931</v>
      </c>
      <c r="F14" s="29">
        <f>HISTORIACLFINANCIALS!F27</f>
        <v>8.7464054793565629E-2</v>
      </c>
      <c r="G14" s="29">
        <f>HISTORIACLFINANCIALS!G27</f>
        <v>5.7109436954797796E-2</v>
      </c>
      <c r="H14" s="29">
        <f>HISTORIACLFINANCIALS!H27</f>
        <v>3.7253453077928753E-2</v>
      </c>
      <c r="I14" s="29">
        <f>HISTORIACLFINANCIALS!I27</f>
        <v>3.3129249698289981E-2</v>
      </c>
      <c r="J14" s="29">
        <f>HISTORIACLFINANCIALS!J27</f>
        <v>4.9105521500570265E-2</v>
      </c>
      <c r="K14" s="29">
        <f>HISTORIACLFINANCIALS!K27</f>
        <v>9.1768399711824988E-2</v>
      </c>
      <c r="L14" s="29">
        <f>HISTORIACLFINANCIALS!L27</f>
        <v>0.13225559631947578</v>
      </c>
      <c r="N14" s="15">
        <f t="shared" si="2"/>
        <v>8.2608258488721401E-2</v>
      </c>
      <c r="O14" s="15">
        <f t="shared" si="3"/>
        <v>8.9616227252695302E-2</v>
      </c>
    </row>
    <row r="15" spans="2:15" x14ac:dyDescent="0.35">
      <c r="B15" t="s">
        <v>134</v>
      </c>
      <c r="C15" s="29">
        <f>HISTORIACLFINANCIALS!C33</f>
        <v>7.5234853878344735E-2</v>
      </c>
      <c r="D15" s="29">
        <f>HISTORIACLFINANCIALS!D33</f>
        <v>7.4102959535874258E-2</v>
      </c>
      <c r="E15" s="29">
        <f>HISTORIACLFINANCIALS!E33</f>
        <v>7.2809719155888755E-2</v>
      </c>
      <c r="F15" s="29">
        <f>HISTORIACLFINANCIALS!F33</f>
        <v>5.291947692826067E-2</v>
      </c>
      <c r="G15" s="29">
        <f>HISTORIACLFINANCIALS!G33</f>
        <v>3.8272535025112367E-2</v>
      </c>
      <c r="H15" s="29">
        <f>HISTORIACLFINANCIALS!H33</f>
        <v>2.401097027226741E-2</v>
      </c>
      <c r="I15" s="29">
        <f>HISTORIACLFINANCIALS!I33</f>
        <v>2.3871898272157469E-2</v>
      </c>
      <c r="J15" s="29">
        <f>HISTORIACLFINANCIALS!J33</f>
        <v>3.1141103313478687E-2</v>
      </c>
      <c r="K15" s="29">
        <f>HISTORIACLFINANCIALS!K33</f>
        <v>6.4020268126904284E-2</v>
      </c>
      <c r="L15" s="29">
        <f>HISTORIACLFINANCIALS!L33</f>
        <v>9.8773812560083177E-2</v>
      </c>
      <c r="N15" s="15">
        <f t="shared" si="2"/>
        <v>5.5515759706837177E-2</v>
      </c>
      <c r="O15" s="15">
        <f t="shared" si="3"/>
        <v>5.8469872527582477E-2</v>
      </c>
    </row>
    <row r="16" spans="2:15" x14ac:dyDescent="0.35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2:15" x14ac:dyDescent="0.35">
      <c r="B17" t="s">
        <v>135</v>
      </c>
      <c r="C17" s="29">
        <f>HISTORIACLFINANCIALS!C15</f>
        <v>0.11697893694976473</v>
      </c>
      <c r="D17" s="29">
        <f>HISTORIACLFINANCIALS!D15</f>
        <v>0.11250201953440553</v>
      </c>
      <c r="E17" s="29">
        <f>HISTORIACLFINANCIALS!E15</f>
        <v>0.10909115968795656</v>
      </c>
      <c r="F17" s="29">
        <f>HISTORIACLFINANCIALS!F15</f>
        <v>0.12583000749403092</v>
      </c>
      <c r="G17" s="29">
        <f>HISTORIACLFINANCIALS!G15</f>
        <v>0.14073354480570974</v>
      </c>
      <c r="H17" s="29">
        <f>HISTORIACLFINANCIALS!H15</f>
        <v>0.13564770079008695</v>
      </c>
      <c r="I17" s="29">
        <f>HISTORIACLFINANCIALS!I15</f>
        <v>0.12452196201055589</v>
      </c>
      <c r="J17" s="29">
        <f>HISTORIACLFINANCIALS!J15</f>
        <v>0.1169162882438146</v>
      </c>
      <c r="K17" s="29">
        <f>HISTORIACLFINANCIALS!K15</f>
        <v>0.10726697504973276</v>
      </c>
      <c r="L17" s="29">
        <f>HISTORIACLFINANCIALS!L15</f>
        <v>9.8916377286430837E-2</v>
      </c>
      <c r="N17" s="15">
        <f t="shared" si="2"/>
        <v>0.11884049718524885</v>
      </c>
      <c r="O17" s="15">
        <f t="shared" si="3"/>
        <v>0.11694761259678967</v>
      </c>
    </row>
    <row r="18" spans="2:15" x14ac:dyDescent="0.35">
      <c r="B18" t="s">
        <v>136</v>
      </c>
      <c r="C18" s="29">
        <f>HISTORIACLFINANCIALS!C24</f>
        <v>4.5215232075569989E-2</v>
      </c>
      <c r="D18" s="29">
        <f>HISTORIACLFINANCIALS!D24</f>
        <v>4.0534625835352868E-2</v>
      </c>
      <c r="E18" s="29">
        <f>HISTORIACLFINANCIALS!E24</f>
        <v>3.7850178049202231E-2</v>
      </c>
      <c r="F18" s="29">
        <f>HISTORIACLFINANCIALS!F24</f>
        <v>4.0995253780419086E-2</v>
      </c>
      <c r="G18" s="29">
        <f>HISTORIACLFINANCIALS!G24</f>
        <v>4.0101771081152524E-2</v>
      </c>
      <c r="H18" s="29">
        <f>HISTORIACLFINANCIALS!H24</f>
        <v>3.9632240095492523E-2</v>
      </c>
      <c r="I18" s="29">
        <f>HISTORIACLFINANCIALS!I24</f>
        <v>3.1990336217222269E-2</v>
      </c>
      <c r="J18" s="29">
        <f>HISTORIACLFINANCIALS!J24</f>
        <v>4.4703086552585536E-2</v>
      </c>
      <c r="K18" s="29">
        <f>HISTORIACLFINANCIALS!K24</f>
        <v>3.9533844360072234E-2</v>
      </c>
      <c r="L18" s="29">
        <f>HISTORIACLFINANCIALS!L24</f>
        <v>0</v>
      </c>
      <c r="N18" s="15">
        <f t="shared" si="2"/>
        <v>3.6055656804706925E-2</v>
      </c>
      <c r="O18" s="15">
        <f t="shared" si="3"/>
        <v>3.9867005588322527E-2</v>
      </c>
    </row>
    <row r="19" spans="2:15" x14ac:dyDescent="0.35">
      <c r="B19" t="s">
        <v>137</v>
      </c>
      <c r="C19" s="29">
        <f>C13</f>
        <v>-0.8885169042699127</v>
      </c>
      <c r="D19" s="29">
        <f t="shared" ref="D19:L19" si="4">D13</f>
        <v>-0.88747154292428587</v>
      </c>
      <c r="E19" s="29">
        <f t="shared" si="4"/>
        <v>-0.88601467997504069</v>
      </c>
      <c r="F19" s="29">
        <f t="shared" si="4"/>
        <v>-0.91253594520643433</v>
      </c>
      <c r="G19" s="29">
        <f t="shared" si="4"/>
        <v>-0.94289056304520225</v>
      </c>
      <c r="H19" s="29">
        <f t="shared" si="4"/>
        <v>-0.96274654692207129</v>
      </c>
      <c r="I19" s="29">
        <f t="shared" si="4"/>
        <v>-0.96687075030170999</v>
      </c>
      <c r="J19" s="29">
        <f t="shared" si="4"/>
        <v>-0.95089447849942976</v>
      </c>
      <c r="K19" s="29">
        <f t="shared" si="4"/>
        <v>-0.90823160028817496</v>
      </c>
      <c r="L19" s="29">
        <f t="shared" si="4"/>
        <v>-0.86774440368052419</v>
      </c>
      <c r="N19" s="15">
        <f t="shared" si="2"/>
        <v>-0.91739174151127845</v>
      </c>
      <c r="O19" s="15">
        <f t="shared" si="3"/>
        <v>-0.91038377274730464</v>
      </c>
    </row>
    <row r="20" spans="2:15" x14ac:dyDescent="0.3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 x14ac:dyDescent="0.35">
      <c r="B21" t="s">
        <v>138</v>
      </c>
      <c r="C21" s="15">
        <f>IFERROR(HISTORIACLFINANCIALS!C17-HISTORIACLFINANCIALS!C23,0)/(SUM(HISTORIACLFINANCIALS!C46:C48))</f>
        <v>0.20813112500769915</v>
      </c>
      <c r="D21" s="15">
        <f>IFERROR(HISTORIACLFINANCIALS!D17-HISTORIACLFINANCIALS!D23,0)/(SUM(HISTORIACLFINANCIALS!D46:D48))</f>
        <v>0.2039873584548986</v>
      </c>
      <c r="E21" s="15">
        <f>IFERROR(HISTORIACLFINANCIALS!E17-HISTORIACLFINANCIALS!E23,0)/(SUM(HISTORIACLFINANCIALS!E46:E48))</f>
        <v>0.21314567410649404</v>
      </c>
      <c r="F21" s="15">
        <f>IFERROR(HISTORIACLFINANCIALS!F17-HISTORIACLFINANCIALS!F23,0)/(SUM(HISTORIACLFINANCIALS!F46:F48))</f>
        <v>0.15931490295587256</v>
      </c>
      <c r="G21" s="15">
        <f>IFERROR(HISTORIACLFINANCIALS!G17-HISTORIACLFINANCIALS!G23,0)/(SUM(HISTORIACLFINANCIALS!G46:G48))</f>
        <v>8.7120013065280055E-2</v>
      </c>
      <c r="H21" s="15">
        <f>IFERROR(HISTORIACLFINANCIALS!H17-HISTORIACLFINANCIALS!H23,0)/(SUM(HISTORIACLFINANCIALS!H46:H48))</f>
        <v>4.9425449883581767E-2</v>
      </c>
      <c r="I21" s="15">
        <f>IFERROR(HISTORIACLFINANCIALS!I17-HISTORIACLFINANCIALS!I23,0)/(SUM(HISTORIACLFINANCIALS!I46:I48))</f>
        <v>5.2481213795082672E-2</v>
      </c>
      <c r="J21" s="15">
        <f>IFERROR(HISTORIACLFINANCIALS!J17-HISTORIACLFINANCIALS!J23,0)/(SUM(HISTORIACLFINANCIALS!J46:J48))</f>
        <v>9.1585155761707851E-2</v>
      </c>
      <c r="K21" s="15">
        <f>IFERROR(HISTORIACLFINANCIALS!K17-HISTORIACLFINANCIALS!K23,0)/(SUM(HISTORIACLFINANCIALS!K46:K48))</f>
        <v>0.15180643370734645</v>
      </c>
      <c r="L21" s="15">
        <f>IFERROR(HISTORIACLFINANCIALS!L17-HISTORIACLFINANCIALS!L23,0)/(SUM(HISTORIACLFINANCIALS!L46:L48))</f>
        <v>0.20994758473489752</v>
      </c>
      <c r="N21" s="15">
        <f t="shared" si="2"/>
        <v>0.14269449114728605</v>
      </c>
      <c r="O21" s="15">
        <f t="shared" si="3"/>
        <v>0.1555606683316095</v>
      </c>
    </row>
    <row r="22" spans="2:15" x14ac:dyDescent="0.35">
      <c r="B22" t="s">
        <v>139</v>
      </c>
      <c r="C22" s="29">
        <f>HISTORIACLFINANCIALS!C43</f>
        <v>0.75604126756987533</v>
      </c>
      <c r="D22" s="29">
        <f>HISTORIACLFINANCIALS!D43</f>
        <v>0.55106732999028796</v>
      </c>
      <c r="E22" s="29">
        <f>HISTORIACLFINANCIALS!E43</f>
        <v>0.58422963740556455</v>
      </c>
      <c r="F22" s="29">
        <f>HISTORIACLFINANCIALS!F43</f>
        <v>0.46955891716249198</v>
      </c>
      <c r="G22" s="29">
        <f>HISTORIACLFINANCIALS!G43</f>
        <v>0.37424456953413721</v>
      </c>
      <c r="H22" s="29">
        <f>HISTORIACLFINANCIALS!H43</f>
        <v>0.19571521571876771</v>
      </c>
      <c r="I22" s="29">
        <f>HISTORIACLFINANCIALS!I43</f>
        <v>0.14066205064972626</v>
      </c>
      <c r="J22" s="29">
        <f>HISTORIACLFINANCIALS!J43</f>
        <v>0.25764072870291921</v>
      </c>
      <c r="K22" s="29">
        <f>HISTORIACLFINANCIALS!K43</f>
        <v>0.56726640093373626</v>
      </c>
      <c r="L22" s="29">
        <f>HISTORIACLFINANCIALS!L43</f>
        <v>0.71898462638541294</v>
      </c>
      <c r="N22" s="15">
        <f t="shared" si="2"/>
        <v>0.46154107440529196</v>
      </c>
      <c r="O22" s="15">
        <f t="shared" si="3"/>
        <v>0.51031312357639003</v>
      </c>
    </row>
    <row r="23" spans="2:15" x14ac:dyDescent="0.35">
      <c r="B23" t="s">
        <v>140</v>
      </c>
      <c r="C23" s="15">
        <f>IFERROR(HISTORIACLFINANCIALS!C32,0)/SUM(HISTORIACLFINANCIALS!C46:C47)</f>
        <v>0.14151750718578507</v>
      </c>
      <c r="D23" s="15">
        <f>IFERROR(HISTORIACLFINANCIALS!D32,0)/SUM(HISTORIACLFINANCIALS!D46:D47)</f>
        <v>0.13608324724680446</v>
      </c>
      <c r="E23" s="15">
        <f>IFERROR(HISTORIACLFINANCIALS!E32,0)/SUM(HISTORIACLFINANCIALS!E46:E47)</f>
        <v>0.13653622936413548</v>
      </c>
      <c r="F23" s="15">
        <f>IFERROR(HISTORIACLFINANCIALS!F32,0)/SUM(HISTORIACLFINANCIALS!F46:F47)</f>
        <v>9.6718982589436522E-2</v>
      </c>
      <c r="G23" s="15">
        <f>IFERROR(HISTORIACLFINANCIALS!G32,0)/SUM(HISTORIACLFINANCIALS!G46:G47)</f>
        <v>5.8601987331269131E-2</v>
      </c>
      <c r="H23" s="15">
        <f>IFERROR(HISTORIACLFINANCIALS!H32,0)/SUM(HISTORIACLFINANCIALS!H46:H47)</f>
        <v>3.2184394083115284E-2</v>
      </c>
      <c r="I23" s="15">
        <f>IFERROR(HISTORIACLFINANCIALS!I32,0)/SUM(HISTORIACLFINANCIALS!I46:I47)</f>
        <v>3.8107114135198655E-2</v>
      </c>
      <c r="J23" s="15">
        <f>IFERROR(HISTORIACLFINANCIALS!J32,0)/SUM(HISTORIACLFINANCIALS!J46:J47)</f>
        <v>5.9252677965991922E-2</v>
      </c>
      <c r="K23" s="15">
        <f>IFERROR(HISTORIACLFINANCIALS!K32,0)/SUM(HISTORIACLFINANCIALS!K46:K47)</f>
        <v>0.10605119342332681</v>
      </c>
      <c r="L23" s="15">
        <f>IFERROR(HISTORIACLFINANCIALS!L32,0)/SUM(HISTORIACLFINANCIALS!L46:L47)</f>
        <v>0.15693906581365941</v>
      </c>
      <c r="N23" s="15">
        <f t="shared" si="2"/>
        <v>9.6199239913872275E-2</v>
      </c>
      <c r="O23" s="15">
        <f t="shared" si="3"/>
        <v>0.10138508800638166</v>
      </c>
    </row>
    <row r="24" spans="2:15" x14ac:dyDescent="0.35">
      <c r="B24" t="s">
        <v>141</v>
      </c>
      <c r="C24" s="15">
        <f>IFERROR(C22*C23,0)</f>
        <v>0.10699307551606989</v>
      </c>
      <c r="D24" s="15">
        <f t="shared" ref="D24:L24" si="5">IFERROR(D22*D23,0)</f>
        <v>7.4991031716704737E-2</v>
      </c>
      <c r="E24" s="15">
        <f t="shared" si="5"/>
        <v>7.976851177413187E-2</v>
      </c>
      <c r="F24" s="15">
        <f t="shared" si="5"/>
        <v>4.541526073375373E-2</v>
      </c>
      <c r="G24" s="15">
        <f t="shared" si="5"/>
        <v>2.1931475522635777E-2</v>
      </c>
      <c r="H24" s="15">
        <f t="shared" si="5"/>
        <v>6.2989756307547384E-3</v>
      </c>
      <c r="I24" s="15">
        <f t="shared" si="5"/>
        <v>5.360224818600213E-3</v>
      </c>
      <c r="J24" s="15">
        <f t="shared" si="5"/>
        <v>1.5265903128757563E-2</v>
      </c>
      <c r="K24" s="15">
        <f t="shared" si="5"/>
        <v>6.0159278807978118E-2</v>
      </c>
      <c r="L24" s="15">
        <f t="shared" si="5"/>
        <v>0.11283677559930964</v>
      </c>
      <c r="N24" s="15">
        <f t="shared" si="2"/>
        <v>5.2902051324869637E-2</v>
      </c>
      <c r="O24" s="15">
        <f t="shared" si="3"/>
        <v>5.2787269770865924E-2</v>
      </c>
    </row>
    <row r="25" spans="2:15" x14ac:dyDescent="0.35">
      <c r="B25" t="s">
        <v>142</v>
      </c>
      <c r="C25" s="15">
        <f>IFERROR(HISTORIACLFINANCIALS!C17-HISTORIACLFINANCIALS!C23,0)/HISTORIACLFINANCIALS!C20</f>
        <v>78.582619339045223</v>
      </c>
      <c r="D25" s="15">
        <f>IFERROR(HISTORIACLFINANCIALS!D17-HISTORIACLFINANCIALS!D23,0)/HISTORIACLFINANCIALS!D20</f>
        <v>85.699105145413853</v>
      </c>
      <c r="E25" s="15">
        <f>IFERROR(HISTORIACLFINANCIALS!E17-HISTORIACLFINANCIALS!E23,0)/HISTORIACLFINANCIALS!E20</f>
        <v>26.307403123192561</v>
      </c>
      <c r="F25" s="15">
        <f>IFERROR(HISTORIACLFINANCIALS!F17-HISTORIACLFINANCIALS!F23,0)/HISTORIACLFINANCIALS!F20</f>
        <v>99.181818181818215</v>
      </c>
      <c r="G25" s="15">
        <f>IFERROR(HISTORIACLFINANCIALS!G17-HISTORIACLFINANCIALS!G23,0)/HISTORIACLFINANCIALS!G20</f>
        <v>32.197466467958286</v>
      </c>
      <c r="H25" s="15">
        <f>IFERROR(HISTORIACLFINANCIALS!H17-HISTORIACLFINANCIALS!H23,0)/HISTORIACLFINANCIALS!H20</f>
        <v>25.752455795677822</v>
      </c>
      <c r="I25" s="15">
        <f>IFERROR(HISTORIACLFINANCIALS!I17-HISTORIACLFINANCIALS!I23,0)/HISTORIACLFINANCIALS!I20</f>
        <v>23.114533965244984</v>
      </c>
      <c r="J25" s="15">
        <f>IFERROR(HISTORIACLFINANCIALS!J17-HISTORIACLFINANCIALS!J23,0)/HISTORIACLFINANCIALS!J20</f>
        <v>30.873796791443834</v>
      </c>
      <c r="K25" s="15">
        <f>IFERROR(HISTORIACLFINANCIALS!K17-HISTORIACLFINANCIALS!K23,0)/HISTORIACLFINANCIALS!K20</f>
        <v>67.242252066115768</v>
      </c>
      <c r="L25" s="15">
        <f>IFERROR(HISTORIACLFINANCIALS!L17-HISTORIACLFINANCIALS!L23,0)/HISTORIACLFINANCIALS!L20</f>
        <v>104.13800205973223</v>
      </c>
      <c r="N25" s="15">
        <f t="shared" si="2"/>
        <v>57.308945293564271</v>
      </c>
      <c r="O25" s="15">
        <f t="shared" si="3"/>
        <v>49.719859267037023</v>
      </c>
    </row>
    <row r="26" spans="2:15" x14ac:dyDescent="0.3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2:15" x14ac:dyDescent="0.35">
      <c r="B27" t="s">
        <v>143</v>
      </c>
      <c r="C27" s="30">
        <f>IFERROR(HISTORIACLFINANCIALS!C5/HISTORIACLFINANCIALS!C58,0)</f>
        <v>43.51594378116971</v>
      </c>
      <c r="D27" s="30">
        <f>IFERROR(HISTORIACLFINANCIALS!D5/HISTORIACLFINANCIALS!D58,0)</f>
        <v>56.614834525195413</v>
      </c>
      <c r="E27" s="30">
        <f>IFERROR(HISTORIACLFINANCIALS!E5/HISTORIACLFINANCIALS!E58,0)</f>
        <v>54.462535826395516</v>
      </c>
      <c r="F27" s="30">
        <f>IFERROR(HISTORIACLFINANCIALS!F5/HISTORIACLFINANCIALS!F58,0)</f>
        <v>37.213983050847453</v>
      </c>
      <c r="G27" s="30">
        <f>IFERROR(HISTORIACLFINANCIALS!G5/HISTORIACLFINANCIALS!G58,0)</f>
        <v>38.256560651261566</v>
      </c>
      <c r="H27" s="30">
        <f>IFERROR(HISTORIACLFINANCIALS!H5/HISTORIACLFINANCIALS!H58,0)</f>
        <v>54.98242050160168</v>
      </c>
      <c r="I27" s="30">
        <f>IFERROR(HISTORIACLFINANCIALS!I5/HISTORIACLFINANCIALS!I58,0)</f>
        <v>43.415974440894573</v>
      </c>
      <c r="J27" s="30">
        <f>IFERROR(HISTORIACLFINANCIALS!J5/HISTORIACLFINANCIALS!J58,0)</f>
        <v>35.612558308596356</v>
      </c>
      <c r="K27" s="30">
        <f>IFERROR(HISTORIACLFINANCIALS!K5/HISTORIACLFINANCIALS!K58,0)</f>
        <v>30.860207100591719</v>
      </c>
      <c r="L27" s="30">
        <f>IFERROR(HISTORIACLFINANCIALS!L5/HISTORIACLFINANCIALS!L58,0)</f>
        <v>23.382265241524841</v>
      </c>
      <c r="N27" s="15">
        <f t="shared" si="2"/>
        <v>41.831728342807885</v>
      </c>
      <c r="O27" s="15">
        <f t="shared" si="3"/>
        <v>40.836267546078069</v>
      </c>
    </row>
    <row r="28" spans="2:15" x14ac:dyDescent="0.35">
      <c r="B28" t="s">
        <v>144</v>
      </c>
      <c r="C28" s="30">
        <f>IFERROR(HISTORIACLFINANCIALS!C5/HISTORIACLFINANCIALS!C72,0)</f>
        <v>32.190609278926772</v>
      </c>
      <c r="D28" s="30">
        <f>IFERROR(HISTORIACLFINANCIALS!D5/HISTORIACLFINANCIALS!D72,0)</f>
        <v>69.545454545454547</v>
      </c>
      <c r="E28" s="30">
        <f>IFERROR(HISTORIACLFINANCIALS!E5/HISTORIACLFINANCIALS!E72,0)</f>
        <v>37.504417293233082</v>
      </c>
      <c r="F28" s="30">
        <f>IFERROR(HISTORIACLFINANCIALS!F5/HISTORIACLFINANCIALS!F72,0)</f>
        <v>-100.31293706293707</v>
      </c>
      <c r="G28" s="30">
        <f>IFERROR(HISTORIACLFINANCIALS!G5/HISTORIACLFINANCIALS!G72,0)</f>
        <v>-35.109048723897914</v>
      </c>
      <c r="H28" s="30">
        <f>IFERROR(HISTORIACLFINANCIALS!H5/HISTORIACLFINANCIALS!H72,0)</f>
        <v>26.258208955223882</v>
      </c>
      <c r="I28" s="30">
        <f>IFERROR(HISTORIACLFINANCIALS!I5/HISTORIACLFINANCIALS!I72,0)</f>
        <v>-223.0550505050505</v>
      </c>
      <c r="J28" s="30">
        <f>IFERROR(HISTORIACLFINANCIALS!J5/HISTORIACLFINANCIALS!J72,0)</f>
        <v>58.551444223107573</v>
      </c>
      <c r="K28" s="30">
        <f>IFERROR(HISTORIACLFINANCIALS!K5/HISTORIACLFINANCIALS!K72,0)</f>
        <v>42.715507377295999</v>
      </c>
      <c r="L28" s="30">
        <f>IFERROR(HISTORIACLFINANCIALS!L5/HISTORIACLFINANCIALS!L72,0)</f>
        <v>43.577372470789399</v>
      </c>
      <c r="N28" s="15">
        <f t="shared" si="2"/>
        <v>-4.8134022147854223</v>
      </c>
      <c r="O28" s="15">
        <f t="shared" si="3"/>
        <v>34.847513286079931</v>
      </c>
    </row>
    <row r="29" spans="2:15" x14ac:dyDescent="0.35">
      <c r="B29" t="s">
        <v>145</v>
      </c>
      <c r="C29" s="30">
        <f>IFERROR(HISTORIACLFINANCIALS!C8/HISTORIACLFINANCIALS!C59,0)</f>
        <v>13.352550596948223</v>
      </c>
      <c r="D29" s="30">
        <f>IFERROR(HISTORIACLFINANCIALS!D8/HISTORIACLFINANCIALS!D59,0)</f>
        <v>15.321261145325858</v>
      </c>
      <c r="E29" s="30">
        <f>IFERROR(HISTORIACLFINANCIALS!E8/HISTORIACLFINANCIALS!E59,0)</f>
        <v>18.664957914056075</v>
      </c>
      <c r="F29" s="30">
        <f>IFERROR(HISTORIACLFINANCIALS!F8/HISTORIACLFINANCIALS!F59,0)</f>
        <v>19.316860290134233</v>
      </c>
      <c r="G29" s="30">
        <f>IFERROR(HISTORIACLFINANCIALS!G8/HISTORIACLFINANCIALS!G59,0)</f>
        <v>17.939917234512585</v>
      </c>
      <c r="H29" s="30">
        <f>IFERROR(HISTORIACLFINANCIALS!H8/HISTORIACLFINANCIALS!H59,0)</f>
        <v>18.175008199409643</v>
      </c>
      <c r="I29" s="30">
        <f>IFERROR(HISTORIACLFINANCIALS!I8/HISTORIACLFINANCIALS!I59,0)</f>
        <v>20.264077230133335</v>
      </c>
      <c r="J29" s="30">
        <f>IFERROR(HISTORIACLFINANCIALS!J8/HISTORIACLFINANCIALS!J59,0)</f>
        <v>21.663616201704215</v>
      </c>
      <c r="K29" s="30">
        <f>IFERROR(HISTORIACLFINANCIALS!K8/HISTORIACLFINANCIALS!K59,0)</f>
        <v>20.310862902164306</v>
      </c>
      <c r="L29" s="30">
        <f>IFERROR(HISTORIACLFINANCIALS!L8/HISTORIACLFINANCIALS!L59,0)</f>
        <v>17.005699242029742</v>
      </c>
      <c r="N29" s="15">
        <f t="shared" si="2"/>
        <v>18.201481095641821</v>
      </c>
      <c r="O29" s="15">
        <f t="shared" si="3"/>
        <v>18.41998305673286</v>
      </c>
    </row>
    <row r="30" spans="2:15" x14ac:dyDescent="0.35">
      <c r="B30" t="s">
        <v>146</v>
      </c>
      <c r="C30" s="30">
        <f>IFERROR(HISTORIACLFINANCIALS!C5/HISTORIACLFINANCIALS!C52,0)</f>
        <v>4.5962361128846894</v>
      </c>
      <c r="D30" s="30">
        <f>IFERROR(HISTORIACLFINANCIALS!D5/HISTORIACLFINANCIALS!D52,0)</f>
        <v>5.1150578106335498</v>
      </c>
      <c r="E30" s="30">
        <f>IFERROR(HISTORIACLFINANCIALS!E5/HISTORIACLFINANCIALS!E52,0)</f>
        <v>5.9609076242829824</v>
      </c>
      <c r="F30" s="30">
        <f>IFERROR(HISTORIACLFINANCIALS!F5/HISTORIACLFINANCIALS!F52,0)</f>
        <v>5.5753596807731922</v>
      </c>
      <c r="G30" s="30">
        <f>IFERROR(HISTORIACLFINANCIALS!G5/HISTORIACLFINANCIALS!G52,0)</f>
        <v>4.8055181524859636</v>
      </c>
      <c r="H30" s="30">
        <f>IFERROR(HISTORIACLFINANCIALS!H5/HISTORIACLFINANCIALS!H52,0)</f>
        <v>4.6950035693555812</v>
      </c>
      <c r="I30" s="30">
        <f>IFERROR(HISTORIACLFINANCIALS!I5/HISTORIACLFINANCIALS!I52,0)</f>
        <v>6.4252938780260704</v>
      </c>
      <c r="J30" s="30">
        <f>IFERROR(HISTORIACLFINANCIALS!J5/HISTORIACLFINANCIALS!J52,0)</f>
        <v>6.5938677763819094</v>
      </c>
      <c r="K30" s="30">
        <f>IFERROR(HISTORIACLFINANCIALS!K5/HISTORIACLFINANCIALS!K52,0)</f>
        <v>5.0909462834831043</v>
      </c>
      <c r="L30" s="30">
        <f>IFERROR(HISTORIACLFINANCIALS!L5/HISTORIACLFINANCIALS!L52,0)</f>
        <v>4.6361577433017915</v>
      </c>
      <c r="N30" s="15">
        <f t="shared" si="2"/>
        <v>5.3494348631608846</v>
      </c>
      <c r="O30" s="15">
        <f t="shared" si="3"/>
        <v>5.1030020470583271</v>
      </c>
    </row>
    <row r="31" spans="2:15" x14ac:dyDescent="0.35">
      <c r="B31" t="s">
        <v>147</v>
      </c>
      <c r="C31" s="30">
        <f>IFERROR(HISTORIACLFINANCIALS!C5/SUM(HISTORIACLFINANCIALS!C46:C48),0)</f>
        <v>1.8669299021943857</v>
      </c>
      <c r="D31" s="30">
        <f>IFERROR(HISTORIACLFINANCIALS!D5/SUM(HISTORIACLFINANCIALS!D46:D48),0)</f>
        <v>1.8127624225545613</v>
      </c>
      <c r="E31" s="30">
        <f>IFERROR(HISTORIACLFINANCIALS!E5/SUM(HISTORIACLFINANCIALS!E46:E48),0)</f>
        <v>1.8699396910042592</v>
      </c>
      <c r="F31" s="30">
        <f>IFERROR(HISTORIACLFINANCIALS!F5/SUM(HISTORIACLFINANCIALS!F46:F48),0)</f>
        <v>1.8214900204648723</v>
      </c>
      <c r="G31" s="30">
        <f>IFERROR(HISTORIACLFINANCIALS!G5/SUM(HISTORIACLFINANCIALS!G46:G48),0)</f>
        <v>1.5254924179034661</v>
      </c>
      <c r="H31" s="30">
        <f>IFERROR(HISTORIACLFINANCIALS!H5/SUM(HISTORIACLFINANCIALS!H46:H48),0)</f>
        <v>1.326734726582016</v>
      </c>
      <c r="I31" s="30">
        <f>IFERROR(HISTORIACLFINANCIALS!I5/SUM(HISTORIACLFINANCIALS!I46:I48),0)</f>
        <v>1.5841352965440558</v>
      </c>
      <c r="J31" s="30">
        <f>IFERROR(HISTORIACLFINANCIALS!J5/SUM(HISTORIACLFINANCIALS!J46:J48),0)</f>
        <v>1.8650683866710236</v>
      </c>
      <c r="K31" s="30">
        <f>IFERROR(HISTORIACLFINANCIALS!K5/SUM(HISTORIACLFINANCIALS!K46:K48),0)</f>
        <v>1.6542342918047546</v>
      </c>
      <c r="L31" s="30">
        <f>IFERROR(HISTORIACLFINANCIALS!L5/SUM(HISTORIACLFINANCIALS!L46:L48),0)</f>
        <v>1.5874381922391358</v>
      </c>
      <c r="N31" s="15">
        <f t="shared" si="2"/>
        <v>1.6914225347962533</v>
      </c>
      <c r="O31" s="15">
        <f t="shared" si="3"/>
        <v>1.7334983571796578</v>
      </c>
    </row>
    <row r="32" spans="2:15" x14ac:dyDescent="0.35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2:15" x14ac:dyDescent="0.35">
      <c r="B33" t="s">
        <v>148</v>
      </c>
      <c r="C33" s="31">
        <f>IFERROR(365/C27,0)</f>
        <v>8.3877302957161959</v>
      </c>
      <c r="D33" s="31">
        <f t="shared" ref="D33:L33" si="6">IFERROR(365/D27,0)</f>
        <v>6.4470735110523609</v>
      </c>
      <c r="E33" s="31">
        <f t="shared" si="6"/>
        <v>6.7018546687482941</v>
      </c>
      <c r="F33" s="31">
        <f t="shared" si="6"/>
        <v>9.8081411898662125</v>
      </c>
      <c r="G33" s="31">
        <f t="shared" si="6"/>
        <v>9.5408472112080354</v>
      </c>
      <c r="H33" s="31">
        <f t="shared" si="6"/>
        <v>6.6384854771784241</v>
      </c>
      <c r="I33" s="31">
        <f t="shared" si="6"/>
        <v>8.4070438289229674</v>
      </c>
      <c r="J33" s="31">
        <f t="shared" si="6"/>
        <v>10.249193468133804</v>
      </c>
      <c r="K33" s="31">
        <f t="shared" si="6"/>
        <v>11.827529180547899</v>
      </c>
      <c r="L33" s="31">
        <f t="shared" si="6"/>
        <v>15.610121441604049</v>
      </c>
      <c r="N33" s="15">
        <f t="shared" si="2"/>
        <v>9.3618020272978235</v>
      </c>
      <c r="O33" s="15">
        <f t="shared" si="3"/>
        <v>8.9739455200655023</v>
      </c>
    </row>
    <row r="34" spans="2:15" x14ac:dyDescent="0.35">
      <c r="B34" t="s">
        <v>149</v>
      </c>
      <c r="C34" s="31">
        <f>IFERROR(365/C28,0)</f>
        <v>11.338710517633578</v>
      </c>
      <c r="D34" s="31">
        <f t="shared" ref="D34:L34" si="7">IFERROR(365/D28,0)</f>
        <v>5.2483660130718954</v>
      </c>
      <c r="E34" s="31">
        <f t="shared" si="7"/>
        <v>9.7321869353735266</v>
      </c>
      <c r="F34" s="31">
        <f t="shared" si="7"/>
        <v>-3.6386134300005226</v>
      </c>
      <c r="G34" s="31">
        <f t="shared" si="7"/>
        <v>-10.396180280200898</v>
      </c>
      <c r="H34" s="31">
        <f t="shared" si="7"/>
        <v>13.900414937759335</v>
      </c>
      <c r="I34" s="31">
        <f t="shared" si="7"/>
        <v>-1.6363673414861124</v>
      </c>
      <c r="J34" s="31">
        <f t="shared" si="7"/>
        <v>6.2338342775830489</v>
      </c>
      <c r="K34" s="31">
        <f t="shared" si="7"/>
        <v>8.5449061104680588</v>
      </c>
      <c r="L34" s="31">
        <f t="shared" si="7"/>
        <v>8.3759065612472448</v>
      </c>
      <c r="N34" s="15">
        <f t="shared" si="2"/>
        <v>4.7703164301449164</v>
      </c>
      <c r="O34" s="15">
        <f t="shared" si="3"/>
        <v>7.3048704194151473</v>
      </c>
    </row>
    <row r="35" spans="2:15" x14ac:dyDescent="0.35">
      <c r="B35" t="s">
        <v>150</v>
      </c>
      <c r="C35" s="31">
        <f>IFERROR(365/C29,0)</f>
        <v>27.335601340722285</v>
      </c>
      <c r="D35" s="31">
        <f t="shared" ref="D35:L35" si="8">IFERROR(365/D29,0)</f>
        <v>23.823104151667867</v>
      </c>
      <c r="E35" s="31">
        <f t="shared" si="8"/>
        <v>19.555361532593029</v>
      </c>
      <c r="F35" s="31">
        <f t="shared" si="8"/>
        <v>18.895410253933331</v>
      </c>
      <c r="G35" s="31">
        <f t="shared" si="8"/>
        <v>20.345690296598338</v>
      </c>
      <c r="H35" s="31">
        <f t="shared" si="8"/>
        <v>20.082521889143131</v>
      </c>
      <c r="I35" s="31">
        <f t="shared" si="8"/>
        <v>18.012169804467248</v>
      </c>
      <c r="J35" s="31">
        <f t="shared" si="8"/>
        <v>16.848525961759169</v>
      </c>
      <c r="K35" s="31">
        <f t="shared" si="8"/>
        <v>17.970679126641436</v>
      </c>
      <c r="L35" s="31">
        <f t="shared" si="8"/>
        <v>21.463392642973432</v>
      </c>
      <c r="N35" s="15">
        <f t="shared" si="2"/>
        <v>20.43324570004993</v>
      </c>
      <c r="O35" s="15">
        <f t="shared" si="3"/>
        <v>19.818941710868081</v>
      </c>
    </row>
    <row r="36" spans="2:15" x14ac:dyDescent="0.35">
      <c r="B36" t="s">
        <v>151</v>
      </c>
      <c r="C36" s="31">
        <f>IFERROR(SUM(C33,C35)-C34,0)</f>
        <v>24.384621118804901</v>
      </c>
      <c r="D36" s="31">
        <f t="shared" ref="D36:L36" si="9">IFERROR(SUM(D33,D35)-D34,0)</f>
        <v>25.021811649648335</v>
      </c>
      <c r="E36" s="31">
        <f t="shared" si="9"/>
        <v>16.525029265967795</v>
      </c>
      <c r="F36" s="31">
        <f t="shared" si="9"/>
        <v>32.342164873800066</v>
      </c>
      <c r="G36" s="31">
        <f t="shared" si="9"/>
        <v>40.282717788007275</v>
      </c>
      <c r="H36" s="31">
        <f t="shared" si="9"/>
        <v>12.82059242856222</v>
      </c>
      <c r="I36" s="31">
        <f t="shared" si="9"/>
        <v>28.055580974876328</v>
      </c>
      <c r="J36" s="31">
        <f t="shared" si="9"/>
        <v>20.863885152309923</v>
      </c>
      <c r="K36" s="31">
        <f t="shared" si="9"/>
        <v>21.253302196721275</v>
      </c>
      <c r="L36" s="31">
        <f t="shared" si="9"/>
        <v>28.697607523330237</v>
      </c>
      <c r="N36" s="15">
        <f t="shared" si="2"/>
        <v>25.024731297202841</v>
      </c>
      <c r="O36" s="15">
        <f t="shared" si="3"/>
        <v>24.703216384226618</v>
      </c>
    </row>
    <row r="37" spans="2:15" x14ac:dyDescent="0.35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2:15" x14ac:dyDescent="0.35">
      <c r="B38" t="s">
        <v>152</v>
      </c>
      <c r="C38" s="15">
        <f>IFERROR(HISTORIACLFINANCIALS!C77/HISTORIACLFINANCIALS!C5,0)</f>
        <v>0.17263713556408342</v>
      </c>
      <c r="D38" s="15">
        <f>IFERROR(HISTORIACLFINANCIALS!D77/HISTORIACLFINANCIALS!D5,0)</f>
        <v>0.18322684879195122</v>
      </c>
      <c r="E38" s="15">
        <f>IFERROR(HISTORIACLFINANCIALS!E77/HISTORIACLFINANCIALS!E5,0)</f>
        <v>0.1828982550927585</v>
      </c>
      <c r="F38" s="15">
        <f>IFERROR(HISTORIACLFINANCIALS!F77/HISTORIACLFINANCIALS!F5,0)</f>
        <v>6.1416197563568552E-2</v>
      </c>
      <c r="G38" s="15">
        <f>IFERROR(HISTORIACLFINANCIALS!G77/HISTORIACLFINANCIALS!G5,0)</f>
        <v>1.2225746761829236E-2</v>
      </c>
      <c r="H38" s="15">
        <f>IFERROR(HISTORIACLFINANCIALS!H77/HISTORIACLFINANCIALS!H5,0)</f>
        <v>0.18746092195759678</v>
      </c>
      <c r="I38" s="15">
        <f>IFERROR(HISTORIACLFINANCIALS!I77/HISTORIACLFINANCIALS!I5,0)</f>
        <v>-1.1004213753455798E-2</v>
      </c>
      <c r="J38" s="15">
        <f>IFERROR(HISTORIACLFINANCIALS!J77/HISTORIACLFINANCIALS!J5,0)</f>
        <v>8.1873722583657743E-2</v>
      </c>
      <c r="K38" s="15">
        <f>IFERROR(HISTORIACLFINANCIALS!K77/HISTORIACLFINANCIALS!K5,0)</f>
        <v>0.13056700282394673</v>
      </c>
      <c r="L38" s="15">
        <f>IFERROR(HISTORIACLFINANCIALS!L77/HISTORIACLFINANCIALS!L5,0)</f>
        <v>0.1030586019501285</v>
      </c>
      <c r="N38" s="15">
        <f t="shared" si="2"/>
        <v>0.11043602193360649</v>
      </c>
      <c r="O38" s="15">
        <f t="shared" si="3"/>
        <v>0.11681280238703762</v>
      </c>
    </row>
    <row r="39" spans="2:15" x14ac:dyDescent="0.35">
      <c r="B39" t="s">
        <v>153</v>
      </c>
      <c r="C39" s="15">
        <f>IFERROR(HISTORIACLFINANCIALS!C77/HISTORIACLFINANCIALS!C63,0)</f>
        <v>0.23269476074007325</v>
      </c>
      <c r="D39" s="15">
        <f>IFERROR(HISTORIACLFINANCIALS!D77/HISTORIACLFINANCIALS!D63,0)</f>
        <v>0.24008621933969074</v>
      </c>
      <c r="E39" s="15">
        <f>IFERROR(HISTORIACLFINANCIALS!E77/HISTORIACLFINANCIALS!E63,0)</f>
        <v>0.24228029292064188</v>
      </c>
      <c r="F39" s="15">
        <f>IFERROR(HISTORIACLFINANCIALS!F77/HISTORIACLFINANCIALS!F63,0)</f>
        <v>8.2634163270474473E-2</v>
      </c>
      <c r="G39" s="15">
        <f>IFERROR(HISTORIACLFINANCIALS!G77/HISTORIACLFINANCIALS!G63,0)</f>
        <v>1.4537693488842124E-2</v>
      </c>
      <c r="H39" s="15">
        <f>IFERROR(HISTORIACLFINANCIALS!H77/HISTORIACLFINANCIALS!H63,0)</f>
        <v>0.18482377154257515</v>
      </c>
      <c r="I39" s="15">
        <f>IFERROR(HISTORIACLFINANCIALS!I77/HISTORIACLFINANCIALS!I63,0)</f>
        <v>-1.3019804301089672E-2</v>
      </c>
      <c r="J39" s="15">
        <f>IFERROR(HISTORIACLFINANCIALS!J77/HISTORIACLFINANCIALS!J63,0)</f>
        <v>0.11378667539827109</v>
      </c>
      <c r="K39" s="15">
        <f>IFERROR(HISTORIACLFINANCIALS!K77/HISTORIACLFINANCIALS!K63,0)</f>
        <v>0.16063609186490332</v>
      </c>
      <c r="L39" s="15">
        <f>IFERROR(HISTORIACLFINANCIALS!L77/HISTORIACLFINANCIALS!L63,0)</f>
        <v>0.11941241725467376</v>
      </c>
      <c r="N39" s="15">
        <f t="shared" si="2"/>
        <v>0.13778722815190561</v>
      </c>
      <c r="O39" s="15">
        <f t="shared" si="3"/>
        <v>0.14002425455978854</v>
      </c>
    </row>
    <row r="40" spans="2:15" x14ac:dyDescent="0.35">
      <c r="B40" t="s">
        <v>154</v>
      </c>
      <c r="C40" s="15">
        <f>IFERROR(HISTORIACLFINANCIALS!C77/HISTORIACLFINANCIALS!C48,0)</f>
        <v>43.057600692940667</v>
      </c>
      <c r="D40" s="15">
        <f>IFERROR(HISTORIACLFINANCIALS!D77/HISTORIACLFINANCIALS!D48,0)</f>
        <v>25.796112489660874</v>
      </c>
      <c r="E40" s="15">
        <f>IFERROR(HISTORIACLFINANCIALS!E77/HISTORIACLFINANCIALS!E48,0)</f>
        <v>120.83609271523179</v>
      </c>
      <c r="F40" s="15">
        <f>IFERROR(HISTORIACLFINANCIALS!F77/HISTORIACLFINANCIALS!F48,0)</f>
        <v>33.120300751879704</v>
      </c>
      <c r="G40" s="15">
        <f>IFERROR(HISTORIACLFINANCIALS!G77/HISTORIACLFINANCIALS!G48,0)</f>
        <v>5.0244432373709937</v>
      </c>
      <c r="H40" s="15">
        <f>IFERROR(HISTORIACLFINANCIALS!H77/HISTORIACLFINANCIALS!H48,0)</f>
        <v>24.38898132741727</v>
      </c>
      <c r="I40" s="15">
        <f>IFERROR(HISTORIACLFINANCIALS!I77/HISTORIACLFINANCIALS!I48,0)</f>
        <v>-2.2843713278495885</v>
      </c>
      <c r="J40" s="15">
        <f>IFERROR(HISTORIACLFINANCIALS!J77/HISTORIACLFINANCIALS!J48,0)</f>
        <v>7.7174697346267944</v>
      </c>
      <c r="K40" s="15">
        <f>IFERROR(HISTORIACLFINANCIALS!K77/HISTORIACLFINANCIALS!K48,0)</f>
        <v>156.17200674536258</v>
      </c>
      <c r="L40" s="15">
        <f>IFERROR(HISTORIACLFINANCIALS!L77/HISTORIACLFINANCIALS!L48,0)</f>
        <v>181.13793103448276</v>
      </c>
      <c r="N40" s="15">
        <f t="shared" si="2"/>
        <v>59.496656740112385</v>
      </c>
      <c r="O40" s="15">
        <f t="shared" si="3"/>
        <v>29.458206620770291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70DDEA3-8ECF-46FB-9D0A-A838EF4861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xr2:uid="{3BDA11CB-8933-4F43-966E-D9AA903C8E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xr2:uid="{A6A5AEF1-F257-408A-AD0C-692E54E1AF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xr2:uid="{AC861A52-F8C7-4EA0-91ED-2A4AA9B5AB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xr2:uid="{EC427782-9D53-4E70-9C12-AF0C60EEF1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xr2:uid="{F798BF80-A181-40F6-9090-06B1FAB0D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xr2:uid="{1A6DAFC7-CFDA-4DD7-B267-49233444E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F6C4-61A6-4A96-AE75-0C1135830E24}">
  <sheetPr>
    <tabColor theme="1"/>
  </sheetPr>
  <dimension ref="B2:O38"/>
  <sheetViews>
    <sheetView showGridLines="0" zoomScale="87" workbookViewId="0">
      <selection activeCell="E6" sqref="E6"/>
    </sheetView>
  </sheetViews>
  <sheetFormatPr defaultRowHeight="14.5" x14ac:dyDescent="0.35"/>
  <cols>
    <col min="1" max="1" width="1.81640625" customWidth="1"/>
    <col min="2" max="2" width="17.26953125" bestFit="1" customWidth="1"/>
    <col min="3" max="3" width="12.1796875" bestFit="1" customWidth="1"/>
    <col min="4" max="4" width="13.54296875" bestFit="1" customWidth="1"/>
    <col min="5" max="5" width="14" bestFit="1" customWidth="1"/>
    <col min="6" max="6" width="1.81640625" customWidth="1"/>
    <col min="7" max="7" width="12.6328125" bestFit="1" customWidth="1"/>
    <col min="8" max="9" width="12.1796875" bestFit="1" customWidth="1"/>
    <col min="10" max="10" width="14" bestFit="1" customWidth="1"/>
    <col min="11" max="11" width="1.81640625" customWidth="1"/>
    <col min="12" max="12" width="12.453125" bestFit="1" customWidth="1"/>
    <col min="13" max="13" width="6.08984375" bestFit="1" customWidth="1"/>
    <col min="14" max="14" width="8" bestFit="1" customWidth="1"/>
    <col min="15" max="15" width="13.81640625" bestFit="1" customWidth="1"/>
  </cols>
  <sheetData>
    <row r="2" spans="2:15" x14ac:dyDescent="0.35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2:15" x14ac:dyDescent="0.35">
      <c r="B3" s="142" t="str">
        <f>'Data Sheet'!B1&amp;" - "&amp;HISTORIACLFINANCIALS!B5</f>
        <v>MARUTI SUZUKI INDIA LTD - SALES</v>
      </c>
      <c r="C3" s="142"/>
      <c r="D3" s="142"/>
      <c r="E3" s="142"/>
      <c r="F3" s="26"/>
      <c r="G3" s="142" t="str">
        <f>'Data Sheet'!B1&amp;" - "&amp;HISTORIACLFINANCIALS!B8</f>
        <v>MARUTI SUZUKI INDIA LTD - COGS</v>
      </c>
      <c r="H3" s="142"/>
      <c r="I3" s="142"/>
      <c r="J3" s="142"/>
      <c r="K3" s="26"/>
      <c r="L3" s="142" t="str">
        <f>'Data Sheet'!B1&amp;" - "&amp;HISTORIACLFINANCIALS!B14</f>
        <v>MARUTI SUZUKI INDIA LTD - S&amp;G EXPENSES</v>
      </c>
      <c r="M3" s="142"/>
      <c r="N3" s="142"/>
      <c r="O3" s="142"/>
    </row>
    <row r="4" spans="2:15" x14ac:dyDescent="0.35">
      <c r="B4" s="42" t="s">
        <v>158</v>
      </c>
      <c r="C4" s="41" t="s">
        <v>159</v>
      </c>
      <c r="D4" s="41" t="s">
        <v>160</v>
      </c>
      <c r="E4" s="9" t="s">
        <v>59</v>
      </c>
      <c r="F4" s="44"/>
      <c r="G4" s="9" t="s">
        <v>158</v>
      </c>
      <c r="H4" s="41" t="s">
        <v>159</v>
      </c>
      <c r="I4" s="41" t="s">
        <v>60</v>
      </c>
      <c r="J4" s="41" t="s">
        <v>184</v>
      </c>
      <c r="K4" s="44"/>
      <c r="L4" s="9" t="s">
        <v>158</v>
      </c>
      <c r="M4" s="41" t="s">
        <v>159</v>
      </c>
      <c r="N4" s="41" t="s">
        <v>185</v>
      </c>
      <c r="O4" s="41" t="s">
        <v>186</v>
      </c>
    </row>
    <row r="5" spans="2:15" x14ac:dyDescent="0.35">
      <c r="B5" s="33">
        <v>1</v>
      </c>
      <c r="C5" s="34">
        <f>HISTORIACLFINANCIALS!$C$3</f>
        <v>42460</v>
      </c>
      <c r="D5" s="39" cm="1">
        <f t="array" ref="D5:D14">TRANSPOSE(HISTORIACLFINANCIALS!C5:L5)</f>
        <v>57589</v>
      </c>
      <c r="E5" s="28" t="s">
        <v>83</v>
      </c>
      <c r="F5" s="44"/>
      <c r="G5" s="33">
        <v>1</v>
      </c>
      <c r="H5" s="34">
        <f>HISTORIACLFINANCIALS!$C$3</f>
        <v>42460</v>
      </c>
      <c r="I5" s="39" cm="1">
        <f t="array" ref="I5:I14">TRANSPOSE(HISTORIACLFINANCIALS!C8:L8)</f>
        <v>41828.200000000004</v>
      </c>
      <c r="J5" s="28" t="s">
        <v>83</v>
      </c>
      <c r="K5" s="44"/>
      <c r="L5" s="33">
        <v>1</v>
      </c>
      <c r="M5" s="34">
        <f>HISTORIACLFINANCIALS!$C$3</f>
        <v>42460</v>
      </c>
      <c r="N5" s="39" cm="1">
        <f t="array" ref="N5:N14">TRANSPOSE(HISTORIACLFINANCIALS!C14:L14)</f>
        <v>6736.7000000000007</v>
      </c>
      <c r="O5" s="28" t="s">
        <v>83</v>
      </c>
    </row>
    <row r="6" spans="2:15" x14ac:dyDescent="0.35">
      <c r="B6" s="33">
        <f>B5+1</f>
        <v>2</v>
      </c>
      <c r="C6" s="34">
        <f>C5+365</f>
        <v>42825</v>
      </c>
      <c r="D6" s="39">
        <v>68085</v>
      </c>
      <c r="E6" s="15">
        <f>D6/D5-1</f>
        <v>0.18225702825192314</v>
      </c>
      <c r="F6" s="44"/>
      <c r="G6" s="33">
        <f>G5+1</f>
        <v>2</v>
      </c>
      <c r="H6" s="34">
        <f>H5+365</f>
        <v>42825</v>
      </c>
      <c r="I6" s="39">
        <v>50004</v>
      </c>
      <c r="J6" s="15">
        <f>I6/I5-1</f>
        <v>0.19546143510837166</v>
      </c>
      <c r="K6" s="44"/>
      <c r="L6" s="33">
        <f>L5+1</f>
        <v>2</v>
      </c>
      <c r="M6" s="34">
        <f>M5+365</f>
        <v>42825</v>
      </c>
      <c r="N6" s="39">
        <v>7659.7000000000007</v>
      </c>
      <c r="O6" s="15">
        <f>N6/N5-1</f>
        <v>0.13701070256950731</v>
      </c>
    </row>
    <row r="7" spans="2:15" x14ac:dyDescent="0.35">
      <c r="B7" s="33">
        <f t="shared" ref="B7:B19" si="0">B6+1</f>
        <v>3</v>
      </c>
      <c r="C7" s="34">
        <f>C6+365</f>
        <v>43190</v>
      </c>
      <c r="D7" s="39">
        <v>79809.399999999994</v>
      </c>
      <c r="E7" s="15">
        <f t="shared" ref="E7:E19" si="1">D7/D6-1</f>
        <v>0.17220239406624072</v>
      </c>
      <c r="F7" s="44"/>
      <c r="G7" s="33">
        <f t="shared" ref="G7:G19" si="2">G6+1</f>
        <v>3</v>
      </c>
      <c r="H7" s="34">
        <f>H6+365</f>
        <v>43190</v>
      </c>
      <c r="I7" s="39">
        <v>58985.000000000007</v>
      </c>
      <c r="J7" s="15">
        <f t="shared" ref="J7:J19" si="3">I7/I6-1</f>
        <v>0.17960563154947629</v>
      </c>
      <c r="K7" s="44"/>
      <c r="L7" s="33">
        <f t="shared" ref="L7:L19" si="4">L6+1</f>
        <v>3</v>
      </c>
      <c r="M7" s="34">
        <f>M6+365</f>
        <v>43190</v>
      </c>
      <c r="N7" s="39">
        <v>8706.5</v>
      </c>
      <c r="O7" s="15">
        <f t="shared" ref="O7:O19" si="5">N7/N6-1</f>
        <v>0.1366633157956576</v>
      </c>
    </row>
    <row r="8" spans="2:15" x14ac:dyDescent="0.35">
      <c r="B8" s="33">
        <f t="shared" si="0"/>
        <v>4</v>
      </c>
      <c r="C8" s="34">
        <f>C7+365</f>
        <v>43555</v>
      </c>
      <c r="D8" s="39">
        <v>86068.5</v>
      </c>
      <c r="E8" s="15">
        <f t="shared" si="1"/>
        <v>7.8425598989592782E-2</v>
      </c>
      <c r="F8" s="44"/>
      <c r="G8" s="33">
        <f t="shared" si="2"/>
        <v>4</v>
      </c>
      <c r="H8" s="34">
        <f t="shared" ref="H8:H19" si="6">H7+365</f>
        <v>43555</v>
      </c>
      <c r="I8" s="39">
        <v>64182.2</v>
      </c>
      <c r="J8" s="15">
        <f t="shared" si="3"/>
        <v>8.8110536577095777E-2</v>
      </c>
      <c r="K8" s="44"/>
      <c r="L8" s="33">
        <f t="shared" si="4"/>
        <v>4</v>
      </c>
      <c r="M8" s="34">
        <f t="shared" ref="M8" si="7">M7+365</f>
        <v>43555</v>
      </c>
      <c r="N8" s="39">
        <v>10830</v>
      </c>
      <c r="O8" s="15">
        <f t="shared" si="5"/>
        <v>0.2438982369494056</v>
      </c>
    </row>
    <row r="9" spans="2:15" x14ac:dyDescent="0.35">
      <c r="B9" s="33">
        <f t="shared" si="0"/>
        <v>5</v>
      </c>
      <c r="C9" s="34">
        <f t="shared" ref="C9:C19" si="8">C8+365</f>
        <v>43920</v>
      </c>
      <c r="D9" s="39">
        <v>75660</v>
      </c>
      <c r="E9" s="15">
        <f>D9/D8-1</f>
        <v>-0.12093274542951249</v>
      </c>
      <c r="F9" s="44"/>
      <c r="G9" s="33">
        <f t="shared" si="2"/>
        <v>5</v>
      </c>
      <c r="H9" s="34">
        <f t="shared" si="6"/>
        <v>43920</v>
      </c>
      <c r="I9" s="39">
        <v>57657.1</v>
      </c>
      <c r="J9" s="15">
        <f t="shared" si="3"/>
        <v>-0.10166525921517178</v>
      </c>
      <c r="K9" s="44"/>
      <c r="L9" s="33">
        <f t="shared" si="4"/>
        <v>5</v>
      </c>
      <c r="M9" s="34">
        <f t="shared" ref="M9" si="9">M8+365</f>
        <v>43920</v>
      </c>
      <c r="N9" s="39">
        <v>10647.9</v>
      </c>
      <c r="O9" s="15">
        <f t="shared" si="5"/>
        <v>-1.6814404432133001E-2</v>
      </c>
    </row>
    <row r="10" spans="2:15" x14ac:dyDescent="0.35">
      <c r="B10" s="33">
        <f t="shared" si="0"/>
        <v>6</v>
      </c>
      <c r="C10" s="34">
        <f t="shared" si="8"/>
        <v>44285</v>
      </c>
      <c r="D10" s="39">
        <v>70372</v>
      </c>
      <c r="E10" s="15">
        <f>D10/D9-1</f>
        <v>-6.9891620407084298E-2</v>
      </c>
      <c r="F10" s="44"/>
      <c r="G10" s="33">
        <f t="shared" si="2"/>
        <v>6</v>
      </c>
      <c r="H10" s="34">
        <f t="shared" si="6"/>
        <v>44285</v>
      </c>
      <c r="I10" s="39">
        <v>55415.6</v>
      </c>
      <c r="J10" s="15">
        <f t="shared" si="3"/>
        <v>-3.8876391632600371E-2</v>
      </c>
      <c r="K10" s="44"/>
      <c r="L10" s="33">
        <f t="shared" si="4"/>
        <v>6</v>
      </c>
      <c r="M10" s="34">
        <f t="shared" ref="M10" si="10">M9+365</f>
        <v>44285</v>
      </c>
      <c r="N10" s="39">
        <v>9545.7999999999993</v>
      </c>
      <c r="O10" s="15">
        <f t="shared" si="5"/>
        <v>-0.10350397731007999</v>
      </c>
    </row>
    <row r="11" spans="2:15" x14ac:dyDescent="0.35">
      <c r="B11" s="33">
        <f t="shared" si="0"/>
        <v>7</v>
      </c>
      <c r="C11" s="34">
        <f t="shared" si="8"/>
        <v>44650</v>
      </c>
      <c r="D11" s="39">
        <v>88329.8</v>
      </c>
      <c r="E11" s="15">
        <f t="shared" si="1"/>
        <v>0.25518387995225389</v>
      </c>
      <c r="F11" s="44"/>
      <c r="G11" s="33">
        <f t="shared" si="2"/>
        <v>7</v>
      </c>
      <c r="H11" s="34">
        <f t="shared" si="6"/>
        <v>44650</v>
      </c>
      <c r="I11" s="39">
        <v>71578.799999999988</v>
      </c>
      <c r="J11" s="15">
        <f t="shared" si="3"/>
        <v>0.29167238106237225</v>
      </c>
      <c r="K11" s="44"/>
      <c r="L11" s="33">
        <f t="shared" si="4"/>
        <v>7</v>
      </c>
      <c r="M11" s="34">
        <f t="shared" ref="M11" si="11">M10+365</f>
        <v>44650</v>
      </c>
      <c r="N11" s="39">
        <v>10999</v>
      </c>
      <c r="O11" s="15">
        <f t="shared" si="5"/>
        <v>0.15223449056129401</v>
      </c>
    </row>
    <row r="12" spans="2:15" x14ac:dyDescent="0.35">
      <c r="B12" s="33">
        <f t="shared" si="0"/>
        <v>8</v>
      </c>
      <c r="C12" s="34">
        <f t="shared" si="8"/>
        <v>45015</v>
      </c>
      <c r="D12" s="39">
        <v>117571.3</v>
      </c>
      <c r="E12" s="15">
        <f t="shared" si="1"/>
        <v>0.3310490910202446</v>
      </c>
      <c r="F12" s="44"/>
      <c r="G12" s="33">
        <f t="shared" si="2"/>
        <v>8</v>
      </c>
      <c r="H12" s="34">
        <f t="shared" si="6"/>
        <v>45015</v>
      </c>
      <c r="I12" s="39">
        <v>92796.1</v>
      </c>
      <c r="J12" s="15">
        <f t="shared" si="3"/>
        <v>0.29641877203864864</v>
      </c>
      <c r="K12" s="44"/>
      <c r="L12" s="33">
        <f t="shared" si="4"/>
        <v>8</v>
      </c>
      <c r="M12" s="34">
        <f t="shared" ref="M12" si="12">M11+365</f>
        <v>45015</v>
      </c>
      <c r="N12" s="39">
        <v>13746</v>
      </c>
      <c r="O12" s="15">
        <f t="shared" si="5"/>
        <v>0.24974997727066106</v>
      </c>
    </row>
    <row r="13" spans="2:15" x14ac:dyDescent="0.35">
      <c r="B13" s="33">
        <f t="shared" si="0"/>
        <v>9</v>
      </c>
      <c r="C13" s="34">
        <f>C12+365</f>
        <v>45380</v>
      </c>
      <c r="D13" s="39">
        <v>141858.20000000001</v>
      </c>
      <c r="E13" s="15">
        <f t="shared" si="1"/>
        <v>0.20657167182807368</v>
      </c>
      <c r="F13" s="44"/>
      <c r="G13" s="33">
        <f t="shared" si="2"/>
        <v>9</v>
      </c>
      <c r="H13" s="34">
        <f>H12+365</f>
        <v>45380</v>
      </c>
      <c r="I13" s="39">
        <v>108015.2</v>
      </c>
      <c r="J13" s="15">
        <f t="shared" si="3"/>
        <v>0.16400581489954846</v>
      </c>
      <c r="K13" s="44"/>
      <c r="L13" s="33">
        <f t="shared" si="4"/>
        <v>9</v>
      </c>
      <c r="M13" s="34">
        <f>M12+365</f>
        <v>45380</v>
      </c>
      <c r="N13" s="39">
        <v>15216.7</v>
      </c>
      <c r="O13" s="15">
        <f t="shared" si="5"/>
        <v>0.10699112469081928</v>
      </c>
    </row>
    <row r="14" spans="2:15" x14ac:dyDescent="0.35">
      <c r="B14" s="33">
        <f t="shared" si="0"/>
        <v>10</v>
      </c>
      <c r="C14" s="34">
        <f t="shared" si="8"/>
        <v>45745</v>
      </c>
      <c r="D14" s="39">
        <v>152913</v>
      </c>
      <c r="E14" s="15">
        <f t="shared" si="1"/>
        <v>7.7928522989858751E-2</v>
      </c>
      <c r="F14" s="44"/>
      <c r="G14" s="33">
        <f t="shared" si="2"/>
        <v>10</v>
      </c>
      <c r="H14" s="34">
        <f t="shared" si="6"/>
        <v>45745</v>
      </c>
      <c r="I14" s="39">
        <v>117563.8</v>
      </c>
      <c r="J14" s="15">
        <f t="shared" si="3"/>
        <v>8.8400521408098065E-2</v>
      </c>
      <c r="K14" s="44"/>
      <c r="L14" s="33">
        <f t="shared" si="4"/>
        <v>10</v>
      </c>
      <c r="M14" s="34">
        <f t="shared" ref="M14" si="13">M13+365</f>
        <v>45745</v>
      </c>
      <c r="N14" s="39">
        <v>15125.599999999999</v>
      </c>
      <c r="O14" s="15">
        <f t="shared" si="5"/>
        <v>-5.986843402314701E-3</v>
      </c>
    </row>
    <row r="15" spans="2:15" x14ac:dyDescent="0.35">
      <c r="B15" s="33">
        <f t="shared" si="0"/>
        <v>11</v>
      </c>
      <c r="C15" s="35">
        <f t="shared" si="8"/>
        <v>46110</v>
      </c>
      <c r="D15" s="40">
        <f>FORECAST(B15,_xlfn.ANCHORARRAY($D$5),$B$5:$B$14)</f>
        <v>145980.08000000005</v>
      </c>
      <c r="E15" s="15">
        <f t="shared" si="1"/>
        <v>-4.5338983605056171E-2</v>
      </c>
      <c r="F15" s="44"/>
      <c r="G15" s="33">
        <f t="shared" si="2"/>
        <v>11</v>
      </c>
      <c r="H15" s="35">
        <f t="shared" si="6"/>
        <v>46110</v>
      </c>
      <c r="I15" s="43">
        <f>FORECAST(G15,_xlfn.ANCHORARRAY($I$5),$G$5:$G$14)</f>
        <v>114359.35333333333</v>
      </c>
      <c r="J15" s="15">
        <f t="shared" si="3"/>
        <v>-2.7257086506787598E-2</v>
      </c>
      <c r="K15" s="44"/>
      <c r="L15" s="33">
        <f t="shared" si="4"/>
        <v>11</v>
      </c>
      <c r="M15" s="35">
        <f t="shared" ref="M15" si="14">M14+365</f>
        <v>46110</v>
      </c>
      <c r="N15" s="43">
        <f>FORECAST(L15,_xlfn.ANCHORARRAY($N$5),$L$5:$L$14)</f>
        <v>16021.439999999999</v>
      </c>
      <c r="O15" s="15">
        <f>IFERROR(N15/N14-1,0)</f>
        <v>5.9226741418522355E-2</v>
      </c>
    </row>
    <row r="16" spans="2:15" x14ac:dyDescent="0.35">
      <c r="B16" s="33">
        <f t="shared" si="0"/>
        <v>12</v>
      </c>
      <c r="C16" s="35">
        <f t="shared" si="8"/>
        <v>46475</v>
      </c>
      <c r="D16" s="40">
        <f t="shared" ref="D16:D19" si="15">FORECAST(B16,_xlfn.ANCHORARRAY($D$5),$B$5:$B$14)</f>
        <v>155462.70909090913</v>
      </c>
      <c r="E16" s="15">
        <f t="shared" si="1"/>
        <v>6.4958377135490686E-2</v>
      </c>
      <c r="F16" s="44"/>
      <c r="G16" s="33">
        <f t="shared" si="2"/>
        <v>12</v>
      </c>
      <c r="H16" s="35">
        <f t="shared" si="6"/>
        <v>46475</v>
      </c>
      <c r="I16" s="43">
        <f t="shared" ref="I16:I19" si="16">FORECAST(G16,_xlfn.ANCHORARRAY($I$5),$G$5:$G$14)</f>
        <v>122096.94484848485</v>
      </c>
      <c r="J16" s="15">
        <f t="shared" si="3"/>
        <v>6.766032938817057E-2</v>
      </c>
      <c r="K16" s="44"/>
      <c r="L16" s="33">
        <f t="shared" si="4"/>
        <v>12</v>
      </c>
      <c r="M16" s="35">
        <f t="shared" ref="M16" si="17">M15+365</f>
        <v>46475</v>
      </c>
      <c r="N16" s="43">
        <f t="shared" ref="N16:N19" si="18">FORECAST(L16,_xlfn.ANCHORARRAY($N$5),$L$5:$L$14)</f>
        <v>16948.721818181817</v>
      </c>
      <c r="O16" s="15">
        <f t="shared" si="5"/>
        <v>5.7877557709033578E-2</v>
      </c>
    </row>
    <row r="17" spans="2:15" x14ac:dyDescent="0.35">
      <c r="B17" s="33">
        <f t="shared" si="0"/>
        <v>13</v>
      </c>
      <c r="C17" s="35">
        <f t="shared" si="8"/>
        <v>46840</v>
      </c>
      <c r="D17" s="40">
        <f t="shared" si="15"/>
        <v>164945.33818181822</v>
      </c>
      <c r="E17" s="15">
        <f t="shared" si="1"/>
        <v>6.0996165230621235E-2</v>
      </c>
      <c r="F17" s="44"/>
      <c r="G17" s="33">
        <f t="shared" si="2"/>
        <v>13</v>
      </c>
      <c r="H17" s="35">
        <f t="shared" si="6"/>
        <v>46840</v>
      </c>
      <c r="I17" s="43">
        <f t="shared" si="16"/>
        <v>129834.53636363638</v>
      </c>
      <c r="J17" s="15">
        <f t="shared" si="3"/>
        <v>6.3372523569311445E-2</v>
      </c>
      <c r="K17" s="44"/>
      <c r="L17" s="33">
        <f t="shared" si="4"/>
        <v>13</v>
      </c>
      <c r="M17" s="35">
        <f t="shared" ref="M17" si="19">M16+365</f>
        <v>46840</v>
      </c>
      <c r="N17" s="43">
        <f t="shared" si="18"/>
        <v>17876.003636363635</v>
      </c>
      <c r="O17" s="15">
        <f t="shared" si="5"/>
        <v>5.4711017628897185E-2</v>
      </c>
    </row>
    <row r="18" spans="2:15" x14ac:dyDescent="0.35">
      <c r="B18" s="33">
        <f t="shared" si="0"/>
        <v>14</v>
      </c>
      <c r="C18" s="35">
        <f t="shared" si="8"/>
        <v>47205</v>
      </c>
      <c r="D18" s="40">
        <f t="shared" si="15"/>
        <v>174427.96727272731</v>
      </c>
      <c r="E18" s="15">
        <f t="shared" si="1"/>
        <v>5.7489524683967952E-2</v>
      </c>
      <c r="F18" s="44"/>
      <c r="G18" s="33">
        <f t="shared" si="2"/>
        <v>14</v>
      </c>
      <c r="H18" s="35">
        <f t="shared" si="6"/>
        <v>47205</v>
      </c>
      <c r="I18" s="43">
        <f t="shared" si="16"/>
        <v>137572.12787878787</v>
      </c>
      <c r="J18" s="15">
        <f t="shared" si="3"/>
        <v>5.9595788084306767E-2</v>
      </c>
      <c r="K18" s="44"/>
      <c r="L18" s="33">
        <f t="shared" si="4"/>
        <v>14</v>
      </c>
      <c r="M18" s="35">
        <f t="shared" ref="M18" si="20">M17+365</f>
        <v>47205</v>
      </c>
      <c r="N18" s="43">
        <f t="shared" si="18"/>
        <v>18803.285454545454</v>
      </c>
      <c r="O18" s="15">
        <f t="shared" si="5"/>
        <v>5.1872993373951237E-2</v>
      </c>
    </row>
    <row r="19" spans="2:15" x14ac:dyDescent="0.35">
      <c r="B19" s="33">
        <f t="shared" si="0"/>
        <v>15</v>
      </c>
      <c r="C19" s="35">
        <f t="shared" si="8"/>
        <v>47570</v>
      </c>
      <c r="D19" s="40">
        <f t="shared" si="15"/>
        <v>183910.5963636364</v>
      </c>
      <c r="E19" s="15">
        <f t="shared" si="1"/>
        <v>5.4364155239408962E-2</v>
      </c>
      <c r="F19" s="44"/>
      <c r="G19" s="33">
        <f t="shared" si="2"/>
        <v>15</v>
      </c>
      <c r="H19" s="35">
        <f t="shared" si="6"/>
        <v>47570</v>
      </c>
      <c r="I19" s="43">
        <f t="shared" si="16"/>
        <v>145309.71939393939</v>
      </c>
      <c r="J19" s="15">
        <f t="shared" si="3"/>
        <v>5.6243889183490436E-2</v>
      </c>
      <c r="K19" s="44"/>
      <c r="L19" s="33">
        <f t="shared" si="4"/>
        <v>15</v>
      </c>
      <c r="M19" s="35">
        <f t="shared" ref="M19" si="21">M18+365</f>
        <v>47570</v>
      </c>
      <c r="N19" s="43">
        <f t="shared" si="18"/>
        <v>19730.567272727272</v>
      </c>
      <c r="O19" s="15">
        <f t="shared" si="5"/>
        <v>4.931488278595797E-2</v>
      </c>
    </row>
    <row r="21" spans="2:15" x14ac:dyDescent="0.35">
      <c r="B21" t="s">
        <v>161</v>
      </c>
    </row>
    <row r="22" spans="2:15" ht="15" thickBot="1" x14ac:dyDescent="0.4"/>
    <row r="23" spans="2:15" x14ac:dyDescent="0.35">
      <c r="B23" s="38"/>
      <c r="C23" s="38"/>
    </row>
    <row r="24" spans="2:15" x14ac:dyDescent="0.35">
      <c r="B24" t="s">
        <v>162</v>
      </c>
      <c r="C24">
        <v>0.88345136297045634</v>
      </c>
    </row>
    <row r="25" spans="2:15" x14ac:dyDescent="0.35">
      <c r="B25" t="s">
        <v>163</v>
      </c>
      <c r="C25">
        <v>0.78048631073435693</v>
      </c>
    </row>
    <row r="26" spans="2:15" x14ac:dyDescent="0.35">
      <c r="B26" t="s">
        <v>164</v>
      </c>
      <c r="C26">
        <v>0.75304709957615157</v>
      </c>
    </row>
    <row r="27" spans="2:15" x14ac:dyDescent="0.35">
      <c r="B27" t="s">
        <v>165</v>
      </c>
      <c r="C27">
        <v>16149.49341498899</v>
      </c>
    </row>
    <row r="28" spans="2:15" ht="15" thickBot="1" x14ac:dyDescent="0.4">
      <c r="B28" s="36" t="s">
        <v>166</v>
      </c>
      <c r="C28" s="36">
        <v>10</v>
      </c>
    </row>
    <row r="30" spans="2:15" ht="15" thickBot="1" x14ac:dyDescent="0.4">
      <c r="B30" t="s">
        <v>167</v>
      </c>
    </row>
    <row r="31" spans="2:15" x14ac:dyDescent="0.35">
      <c r="B31" s="37"/>
      <c r="C31" s="37" t="s">
        <v>171</v>
      </c>
      <c r="D31" s="37" t="s">
        <v>172</v>
      </c>
      <c r="E31" s="37" t="s">
        <v>173</v>
      </c>
      <c r="F31" s="37" t="s">
        <v>174</v>
      </c>
      <c r="G31" s="37" t="s">
        <v>175</v>
      </c>
    </row>
    <row r="32" spans="2:15" x14ac:dyDescent="0.35">
      <c r="B32" t="s">
        <v>168</v>
      </c>
      <c r="C32">
        <v>1</v>
      </c>
      <c r="D32">
        <v>7418420994.2498178</v>
      </c>
      <c r="E32">
        <v>7418420994.2498178</v>
      </c>
      <c r="F32">
        <v>28.444196381387631</v>
      </c>
      <c r="G32">
        <v>6.9973879064678208E-4</v>
      </c>
    </row>
    <row r="33" spans="2:10" x14ac:dyDescent="0.35">
      <c r="B33" t="s">
        <v>169</v>
      </c>
      <c r="C33">
        <v>8</v>
      </c>
      <c r="D33">
        <v>2086449100.4861822</v>
      </c>
      <c r="E33">
        <v>260806137.56077278</v>
      </c>
    </row>
    <row r="34" spans="2:10" ht="15" thickBot="1" x14ac:dyDescent="0.4">
      <c r="B34" s="36" t="s">
        <v>12</v>
      </c>
      <c r="C34" s="36">
        <v>9</v>
      </c>
      <c r="D34" s="36">
        <v>9504870094.7360001</v>
      </c>
      <c r="E34" s="36"/>
      <c r="F34" s="36"/>
      <c r="G34" s="36"/>
    </row>
    <row r="35" spans="2:10" ht="15" thickBot="1" x14ac:dyDescent="0.4"/>
    <row r="36" spans="2:10" x14ac:dyDescent="0.35">
      <c r="B36" s="37"/>
      <c r="C36" s="37" t="s">
        <v>176</v>
      </c>
      <c r="D36" s="37" t="s">
        <v>165</v>
      </c>
      <c r="E36" s="37" t="s">
        <v>177</v>
      </c>
      <c r="F36" s="37" t="s">
        <v>178</v>
      </c>
      <c r="G36" s="37" t="s">
        <v>179</v>
      </c>
      <c r="H36" s="37" t="s">
        <v>180</v>
      </c>
      <c r="I36" s="37" t="s">
        <v>181</v>
      </c>
      <c r="J36" s="37" t="s">
        <v>182</v>
      </c>
    </row>
    <row r="37" spans="2:10" x14ac:dyDescent="0.35">
      <c r="B37" t="s">
        <v>170</v>
      </c>
      <c r="C37">
        <v>41671.160000000025</v>
      </c>
      <c r="D37">
        <v>11032.204261238729</v>
      </c>
      <c r="E37">
        <v>3.7772288305438848</v>
      </c>
      <c r="F37">
        <v>5.4095058246916355E-3</v>
      </c>
      <c r="G37">
        <v>16230.851353166483</v>
      </c>
      <c r="H37">
        <v>67111.468646833571</v>
      </c>
      <c r="I37">
        <v>16230.851353166483</v>
      </c>
      <c r="J37">
        <v>67111.468646833571</v>
      </c>
    </row>
    <row r="38" spans="2:10" ht="15" thickBot="1" x14ac:dyDescent="0.4">
      <c r="B38" s="36" t="s">
        <v>183</v>
      </c>
      <c r="C38" s="36">
        <v>9482.6290909090912</v>
      </c>
      <c r="D38" s="36">
        <v>1778.0007075049648</v>
      </c>
      <c r="E38" s="36">
        <v>5.3333100773710536</v>
      </c>
      <c r="F38" s="36">
        <v>6.9973879064678143E-4</v>
      </c>
      <c r="G38" s="36">
        <v>5382.552107006708</v>
      </c>
      <c r="H38" s="36">
        <v>13582.706074811475</v>
      </c>
      <c r="I38" s="36">
        <v>5382.552107006708</v>
      </c>
      <c r="J38" s="36">
        <v>13582.706074811475</v>
      </c>
    </row>
  </sheetData>
  <mergeCells count="3">
    <mergeCell ref="B3:E3"/>
    <mergeCell ref="G3:J3"/>
    <mergeCell ref="L3:O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9595-A4B8-48EF-9BF4-14A1C035636E}">
  <sheetPr>
    <tabColor theme="1"/>
  </sheetPr>
  <dimension ref="B2:N45"/>
  <sheetViews>
    <sheetView showGridLines="0" topLeftCell="A22" zoomScale="97" workbookViewId="0">
      <selection activeCell="J34" sqref="J34"/>
    </sheetView>
  </sheetViews>
  <sheetFormatPr defaultRowHeight="14.5" x14ac:dyDescent="0.35"/>
  <cols>
    <col min="1" max="1" width="1.81640625" customWidth="1"/>
    <col min="2" max="2" width="35.6328125" customWidth="1"/>
    <col min="3" max="3" width="9.36328125" bestFit="1" customWidth="1"/>
    <col min="4" max="5" width="8.1796875" bestFit="1" customWidth="1"/>
    <col min="6" max="6" width="7.54296875" bestFit="1" customWidth="1"/>
    <col min="7" max="7" width="9.453125" bestFit="1" customWidth="1"/>
    <col min="8" max="8" width="10.81640625" bestFit="1" customWidth="1"/>
    <col min="9" max="9" width="8.90625" customWidth="1"/>
    <col min="10" max="10" width="7.1796875" bestFit="1" customWidth="1"/>
    <col min="11" max="12" width="7.08984375" bestFit="1" customWidth="1"/>
    <col min="13" max="13" width="9.6328125" bestFit="1" customWidth="1"/>
  </cols>
  <sheetData>
    <row r="2" spans="2:14" s="9" customFormat="1" x14ac:dyDescent="0.35">
      <c r="B2" s="9" t="s">
        <v>187</v>
      </c>
    </row>
    <row r="4" spans="2:14" x14ac:dyDescent="0.35">
      <c r="B4" s="46" t="s">
        <v>188</v>
      </c>
    </row>
    <row r="6" spans="2:14" x14ac:dyDescent="0.35">
      <c r="B6" s="48" t="s">
        <v>189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2:14" x14ac:dyDescent="0.35">
      <c r="B7" s="61"/>
      <c r="C7" s="61"/>
      <c r="D7" s="61"/>
      <c r="E7" s="61"/>
      <c r="F7" s="61"/>
      <c r="G7" s="61"/>
      <c r="H7" s="61"/>
      <c r="I7" s="61"/>
      <c r="J7" s="61" t="s">
        <v>194</v>
      </c>
      <c r="K7" s="61" t="s">
        <v>194</v>
      </c>
      <c r="L7" s="61" t="s">
        <v>197</v>
      </c>
      <c r="M7" s="61" t="s">
        <v>198</v>
      </c>
      <c r="N7" s="50"/>
    </row>
    <row r="8" spans="2:14" ht="16.5" x14ac:dyDescent="0.35">
      <c r="B8" s="48" t="s">
        <v>190</v>
      </c>
      <c r="C8" s="48"/>
      <c r="D8" s="48"/>
      <c r="E8" s="48"/>
      <c r="F8" s="48" t="s">
        <v>191</v>
      </c>
      <c r="G8" s="48" t="s">
        <v>192</v>
      </c>
      <c r="H8" s="48" t="s">
        <v>193</v>
      </c>
      <c r="I8" s="48" t="s">
        <v>335</v>
      </c>
      <c r="J8" s="48" t="s">
        <v>195</v>
      </c>
      <c r="K8" s="48" t="s">
        <v>196</v>
      </c>
      <c r="L8" s="48" t="s">
        <v>336</v>
      </c>
      <c r="M8" s="48" t="s">
        <v>337</v>
      </c>
      <c r="N8" s="49"/>
    </row>
    <row r="10" spans="2:14" x14ac:dyDescent="0.35">
      <c r="B10" s="139" t="str">
        <f>'Data Sheet'!B1</f>
        <v>MARUTI SUZUKI INDIA LTD</v>
      </c>
      <c r="F10" s="47" t="s">
        <v>199</v>
      </c>
      <c r="G10">
        <f>Beta_Comp!F3</f>
        <v>99.9</v>
      </c>
      <c r="H10">
        <f>Beta_Comp!E3</f>
        <v>479055.2</v>
      </c>
      <c r="I10" s="51">
        <v>0.3</v>
      </c>
      <c r="J10" s="15">
        <f>G10/H10</f>
        <v>2.0853546731149146E-4</v>
      </c>
      <c r="K10" s="15">
        <f>G10/(G10+H10)</f>
        <v>2.0849198933706433E-4</v>
      </c>
      <c r="L10" s="60">
        <f>REGRESSION!K14</f>
        <v>0.42313972373849174</v>
      </c>
      <c r="M10" s="60">
        <f>L10/(1+(1-I10)*J10)</f>
        <v>0.42307796500569261</v>
      </c>
    </row>
    <row r="11" spans="2:14" x14ac:dyDescent="0.35">
      <c r="B11" s="33" t="str">
        <f>Beta_Comp!C4</f>
        <v>M &amp; M</v>
      </c>
      <c r="F11" s="47" t="s">
        <v>199</v>
      </c>
      <c r="G11">
        <f>Beta_Comp!F4</f>
        <v>126709.33</v>
      </c>
      <c r="H11">
        <f>Beta_Comp!E4</f>
        <v>439388.48</v>
      </c>
      <c r="I11" s="51">
        <v>0.3</v>
      </c>
      <c r="J11" s="15">
        <f t="shared" ref="J11:J14" si="0">G11/H11</f>
        <v>0.28837654095983584</v>
      </c>
      <c r="K11" s="15">
        <f t="shared" ref="K11:K14" si="1">G11/(G11+H11)</f>
        <v>0.22382939442920652</v>
      </c>
      <c r="L11" s="60">
        <v>1.72</v>
      </c>
      <c r="M11" s="60">
        <f t="shared" ref="M11:M14" si="2">L11/(1+(1-I11)*J11)</f>
        <v>1.4311108436289248</v>
      </c>
    </row>
    <row r="12" spans="2:14" x14ac:dyDescent="0.35">
      <c r="B12" s="33" t="str">
        <f>Beta_Comp!C5</f>
        <v>Hyundai Motor I</v>
      </c>
      <c r="F12" s="47" t="s">
        <v>199</v>
      </c>
      <c r="G12">
        <f>Beta_Comp!F5</f>
        <v>856.56</v>
      </c>
      <c r="H12">
        <f>Beta_Comp!E5</f>
        <v>177093.33</v>
      </c>
      <c r="I12" s="51">
        <v>0.3</v>
      </c>
      <c r="J12" s="15">
        <f t="shared" si="0"/>
        <v>4.8367716615865773E-3</v>
      </c>
      <c r="K12" s="15">
        <f t="shared" si="1"/>
        <v>4.8134899099965727E-3</v>
      </c>
      <c r="L12" s="60">
        <v>1.06</v>
      </c>
      <c r="M12" s="60">
        <f t="shared" si="2"/>
        <v>1.0564232254563297</v>
      </c>
    </row>
    <row r="13" spans="2:14" x14ac:dyDescent="0.35">
      <c r="B13" s="33" t="str">
        <f>Beta_Comp!C6</f>
        <v>Tata Motors PVeh</v>
      </c>
      <c r="F13" s="47" t="s">
        <v>199</v>
      </c>
      <c r="G13">
        <f>Beta_Comp!F6</f>
        <v>67258</v>
      </c>
      <c r="H13">
        <f>Beta_Comp!E6</f>
        <v>140020.65</v>
      </c>
      <c r="I13" s="51">
        <v>0.3</v>
      </c>
      <c r="J13" s="15">
        <f t="shared" si="0"/>
        <v>0.48034343505761473</v>
      </c>
      <c r="K13" s="15">
        <f t="shared" si="1"/>
        <v>0.32448107897267758</v>
      </c>
      <c r="L13" s="60">
        <v>1.02</v>
      </c>
      <c r="M13" s="60">
        <f t="shared" si="2"/>
        <v>0.76333569658139655</v>
      </c>
    </row>
    <row r="14" spans="2:14" x14ac:dyDescent="0.35">
      <c r="B14" s="33" t="str">
        <f>Beta_Comp!C7</f>
        <v>Force Motors</v>
      </c>
      <c r="F14" s="47" t="s">
        <v>199</v>
      </c>
      <c r="G14">
        <f>Beta_Comp!F7</f>
        <v>0</v>
      </c>
      <c r="H14">
        <f>Beta_Comp!E7</f>
        <v>31416.16</v>
      </c>
      <c r="I14" s="51">
        <v>0.3</v>
      </c>
      <c r="J14" s="15">
        <f t="shared" si="0"/>
        <v>0</v>
      </c>
      <c r="K14" s="15">
        <f t="shared" si="1"/>
        <v>0</v>
      </c>
      <c r="L14" s="60">
        <v>1.47</v>
      </c>
      <c r="M14" s="60">
        <f t="shared" si="2"/>
        <v>1.47</v>
      </c>
    </row>
    <row r="15" spans="2:14" x14ac:dyDescent="0.35">
      <c r="I15" s="51"/>
    </row>
    <row r="16" spans="2:14" x14ac:dyDescent="0.35">
      <c r="I16" s="51"/>
    </row>
    <row r="17" spans="2:13" x14ac:dyDescent="0.35">
      <c r="H17" s="61" t="s">
        <v>225</v>
      </c>
      <c r="I17" s="62">
        <f>AVERAGE(I10:I14)</f>
        <v>0.3</v>
      </c>
      <c r="J17" s="62">
        <f t="shared" ref="J17:M17" si="3">AVERAGE(J10:J14)</f>
        <v>0.15475305662926972</v>
      </c>
      <c r="K17" s="62">
        <f t="shared" si="3"/>
        <v>0.11066649106024355</v>
      </c>
      <c r="L17" s="63">
        <f t="shared" si="3"/>
        <v>1.1386279447476984</v>
      </c>
      <c r="M17" s="63">
        <f t="shared" si="3"/>
        <v>1.0287895461344687</v>
      </c>
    </row>
    <row r="18" spans="2:13" x14ac:dyDescent="0.35">
      <c r="H18" s="48" t="s">
        <v>226</v>
      </c>
      <c r="I18" s="64">
        <f>MEDIAN(I10:I14)</f>
        <v>0.3</v>
      </c>
      <c r="J18" s="64">
        <f t="shared" ref="J18:M18" si="4">MEDIAN(J10:J14)</f>
        <v>4.8367716615865773E-3</v>
      </c>
      <c r="K18" s="64">
        <f t="shared" si="4"/>
        <v>4.8134899099965727E-3</v>
      </c>
      <c r="L18" s="65">
        <f t="shared" si="4"/>
        <v>1.06</v>
      </c>
      <c r="M18" s="65">
        <f t="shared" si="4"/>
        <v>1.0564232254563297</v>
      </c>
    </row>
    <row r="21" spans="2:13" x14ac:dyDescent="0.35">
      <c r="B21" s="48" t="s">
        <v>227</v>
      </c>
      <c r="C21" s="49"/>
      <c r="I21" s="48" t="s">
        <v>231</v>
      </c>
      <c r="J21" s="49"/>
    </row>
    <row r="23" spans="2:13" x14ac:dyDescent="0.35">
      <c r="B23" t="s">
        <v>228</v>
      </c>
      <c r="C23" s="15">
        <v>4.2999999999999997E-2</v>
      </c>
      <c r="I23" t="s">
        <v>232</v>
      </c>
      <c r="J23" s="51">
        <v>6.5000000000000002E-2</v>
      </c>
    </row>
    <row r="24" spans="2:13" x14ac:dyDescent="0.35">
      <c r="B24" t="s">
        <v>229</v>
      </c>
      <c r="C24" s="29">
        <f>I14</f>
        <v>0.3</v>
      </c>
      <c r="I24" t="s">
        <v>233</v>
      </c>
      <c r="J24" s="29">
        <f>'Market Return'!G5-WACC!J23</f>
        <v>8.6492307692307702E-2</v>
      </c>
    </row>
    <row r="25" spans="2:13" ht="16.5" x14ac:dyDescent="0.35">
      <c r="B25" s="83" t="s">
        <v>230</v>
      </c>
      <c r="C25" s="84">
        <f>C23*(1-C24)</f>
        <v>3.0099999999999995E-2</v>
      </c>
      <c r="I25" t="s">
        <v>234</v>
      </c>
      <c r="J25" s="60">
        <f>J34</f>
        <v>1.1484443347279485</v>
      </c>
    </row>
    <row r="26" spans="2:13" x14ac:dyDescent="0.35">
      <c r="I26" s="83" t="s">
        <v>231</v>
      </c>
      <c r="J26" s="85">
        <f>J23+J24*J25</f>
        <v>0.16433160076677733</v>
      </c>
    </row>
    <row r="29" spans="2:13" x14ac:dyDescent="0.35">
      <c r="B29" s="73" t="s">
        <v>235</v>
      </c>
      <c r="C29" s="74"/>
      <c r="D29" s="74"/>
      <c r="E29" s="74"/>
      <c r="I29" s="73" t="s">
        <v>239</v>
      </c>
      <c r="J29" s="74"/>
    </row>
    <row r="31" spans="2:13" x14ac:dyDescent="0.35">
      <c r="D31" s="48" t="s">
        <v>236</v>
      </c>
      <c r="E31" s="48" t="s">
        <v>237</v>
      </c>
      <c r="I31" t="s">
        <v>240</v>
      </c>
      <c r="J31" s="60">
        <f>M18</f>
        <v>1.0564232254563297</v>
      </c>
    </row>
    <row r="32" spans="2:13" x14ac:dyDescent="0.35">
      <c r="B32" t="s">
        <v>192</v>
      </c>
      <c r="C32">
        <f>G10</f>
        <v>99.9</v>
      </c>
      <c r="D32" s="15">
        <f>C32/$C$34</f>
        <v>2.0849198933706433E-4</v>
      </c>
      <c r="E32" s="88">
        <f>K17</f>
        <v>0.11066649106024355</v>
      </c>
      <c r="I32" t="s">
        <v>241</v>
      </c>
      <c r="J32" s="29">
        <f>E36</f>
        <v>0.12443755907969516</v>
      </c>
    </row>
    <row r="33" spans="2:10" x14ac:dyDescent="0.35">
      <c r="B33" t="s">
        <v>44</v>
      </c>
      <c r="C33">
        <f>H10</f>
        <v>479055.2</v>
      </c>
      <c r="D33" s="15">
        <f>C33/$C$34</f>
        <v>0.99979150801066285</v>
      </c>
      <c r="E33" s="88">
        <f>E34-E32</f>
        <v>0.88933350893975649</v>
      </c>
      <c r="I33" t="s">
        <v>229</v>
      </c>
      <c r="J33" s="29">
        <f>I14</f>
        <v>0.3</v>
      </c>
    </row>
    <row r="34" spans="2:10" x14ac:dyDescent="0.35">
      <c r="B34" s="66" t="s">
        <v>238</v>
      </c>
      <c r="C34" s="19">
        <f>SUM(C32:C33)</f>
        <v>479155.10000000003</v>
      </c>
      <c r="D34" s="69">
        <f>C34/$C$34</f>
        <v>1</v>
      </c>
      <c r="E34" s="70">
        <v>1</v>
      </c>
      <c r="I34" s="86" t="s">
        <v>242</v>
      </c>
      <c r="J34" s="87">
        <f>J31*(1+(1-J33)*J32)</f>
        <v>1.1484443347279485</v>
      </c>
    </row>
    <row r="36" spans="2:10" x14ac:dyDescent="0.35">
      <c r="B36" s="71" t="s">
        <v>241</v>
      </c>
      <c r="C36" s="71"/>
      <c r="D36" s="72">
        <f>D32/D33</f>
        <v>2.0853546731149146E-4</v>
      </c>
      <c r="E36" s="72">
        <f>E32/E33</f>
        <v>0.12443755907969516</v>
      </c>
    </row>
    <row r="37" spans="2:10" x14ac:dyDescent="0.35">
      <c r="I37" s="73" t="s">
        <v>250</v>
      </c>
      <c r="J37" s="74"/>
    </row>
    <row r="39" spans="2:10" x14ac:dyDescent="0.35">
      <c r="I39" t="s">
        <v>231</v>
      </c>
      <c r="J39" s="29">
        <f>J26</f>
        <v>0.16433160076677733</v>
      </c>
    </row>
    <row r="40" spans="2:10" x14ac:dyDescent="0.35">
      <c r="I40" t="s">
        <v>251</v>
      </c>
      <c r="J40" s="29">
        <f>E33</f>
        <v>0.88933350893975649</v>
      </c>
    </row>
    <row r="42" spans="2:10" x14ac:dyDescent="0.35">
      <c r="I42" t="s">
        <v>252</v>
      </c>
      <c r="J42" s="79">
        <f>C25</f>
        <v>3.0099999999999995E-2</v>
      </c>
    </row>
    <row r="43" spans="2:10" x14ac:dyDescent="0.35">
      <c r="I43" t="s">
        <v>253</v>
      </c>
      <c r="J43" s="29">
        <f>E32</f>
        <v>0.11066649106024355</v>
      </c>
    </row>
    <row r="44" spans="2:10" x14ac:dyDescent="0.35">
      <c r="I44" s="2"/>
    </row>
    <row r="45" spans="2:10" ht="15" thickBot="1" x14ac:dyDescent="0.4">
      <c r="I45" s="81" t="s">
        <v>254</v>
      </c>
      <c r="J45" s="82">
        <f>(J39*J40)+(J42*J43)</f>
        <v>0.14947666052051858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3DEE-36C8-4560-BA48-BD2299A3C450}">
  <sheetPr>
    <tabColor rgb="FF002060"/>
  </sheetPr>
  <dimension ref="B2:G7"/>
  <sheetViews>
    <sheetView showGridLines="0" workbookViewId="0">
      <selection activeCell="I4" sqref="I4"/>
    </sheetView>
  </sheetViews>
  <sheetFormatPr defaultRowHeight="14.5" x14ac:dyDescent="0.35"/>
  <cols>
    <col min="1" max="1" width="1.81640625" customWidth="1"/>
    <col min="3" max="3" width="15.7265625" bestFit="1" customWidth="1"/>
    <col min="4" max="4" width="7.54296875" bestFit="1" customWidth="1"/>
    <col min="5" max="5" width="13.26953125" bestFit="1" customWidth="1"/>
    <col min="6" max="6" width="10.08984375" bestFit="1" customWidth="1"/>
  </cols>
  <sheetData>
    <row r="2" spans="2:7" x14ac:dyDescent="0.35"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</row>
    <row r="3" spans="2:7" x14ac:dyDescent="0.35">
      <c r="B3">
        <v>1</v>
      </c>
      <c r="C3" t="s">
        <v>206</v>
      </c>
      <c r="D3">
        <v>15237</v>
      </c>
      <c r="E3">
        <v>479055.2</v>
      </c>
      <c r="F3">
        <v>99.9</v>
      </c>
      <c r="G3">
        <v>0</v>
      </c>
    </row>
    <row r="4" spans="2:7" x14ac:dyDescent="0.35">
      <c r="B4">
        <v>2</v>
      </c>
      <c r="C4" t="s">
        <v>207</v>
      </c>
      <c r="D4">
        <v>3533.4</v>
      </c>
      <c r="E4">
        <v>439388.48</v>
      </c>
      <c r="F4">
        <v>126709.33</v>
      </c>
      <c r="G4">
        <v>1.53</v>
      </c>
    </row>
    <row r="5" spans="2:7" x14ac:dyDescent="0.35">
      <c r="B5">
        <v>3</v>
      </c>
      <c r="C5" t="s">
        <v>208</v>
      </c>
      <c r="D5">
        <v>2179.5</v>
      </c>
      <c r="E5">
        <v>177093.33</v>
      </c>
      <c r="F5">
        <v>856.56</v>
      </c>
      <c r="G5">
        <v>0.05</v>
      </c>
    </row>
    <row r="6" spans="2:7" x14ac:dyDescent="0.35">
      <c r="B6">
        <v>4</v>
      </c>
      <c r="C6" t="s">
        <v>209</v>
      </c>
      <c r="D6">
        <v>380.25</v>
      </c>
      <c r="E6">
        <v>140020.65</v>
      </c>
      <c r="F6">
        <v>67258</v>
      </c>
      <c r="G6">
        <v>0.61</v>
      </c>
    </row>
    <row r="7" spans="2:7" x14ac:dyDescent="0.35">
      <c r="B7">
        <v>5</v>
      </c>
      <c r="C7" t="s">
        <v>210</v>
      </c>
      <c r="D7">
        <v>23843</v>
      </c>
      <c r="E7">
        <v>31416.16</v>
      </c>
      <c r="F7">
        <v>0</v>
      </c>
      <c r="G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ACC6-DBD1-49C7-9D88-0E48901B08C9}">
  <sheetPr>
    <tabColor rgb="FF002060"/>
  </sheetPr>
  <dimension ref="B2:N566"/>
  <sheetViews>
    <sheetView showGridLines="0" workbookViewId="0">
      <selection activeCell="K14" sqref="K14"/>
    </sheetView>
  </sheetViews>
  <sheetFormatPr defaultRowHeight="14.5" x14ac:dyDescent="0.35"/>
  <cols>
    <col min="1" max="1" width="1.81640625" customWidth="1"/>
    <col min="2" max="2" width="32.7265625" bestFit="1" customWidth="1"/>
    <col min="3" max="3" width="11.1796875" bestFit="1" customWidth="1"/>
    <col min="6" max="6" width="1.81640625" customWidth="1"/>
    <col min="7" max="7" width="11.6328125" bestFit="1" customWidth="1"/>
    <col min="8" max="8" width="13.26953125" bestFit="1" customWidth="1"/>
    <col min="10" max="10" width="17.54296875" bestFit="1" customWidth="1"/>
  </cols>
  <sheetData>
    <row r="2" spans="2:14" s="54" customFormat="1" x14ac:dyDescent="0.35">
      <c r="B2" s="55" t="s">
        <v>211</v>
      </c>
    </row>
    <row r="4" spans="2:14" s="53" customFormat="1" x14ac:dyDescent="0.35">
      <c r="B4" s="52"/>
      <c r="M4" s="54" t="s">
        <v>218</v>
      </c>
      <c r="N4" s="59">
        <f>SLOPE(D9:D566,H9:H566)</f>
        <v>0.23085296498465563</v>
      </c>
    </row>
    <row r="5" spans="2:14" x14ac:dyDescent="0.35">
      <c r="B5" s="9" t="s">
        <v>216</v>
      </c>
      <c r="C5" s="45"/>
      <c r="D5" s="45"/>
      <c r="E5" s="45"/>
      <c r="G5" s="141" t="s">
        <v>217</v>
      </c>
      <c r="H5" s="141"/>
      <c r="J5" s="9" t="s">
        <v>219</v>
      </c>
    </row>
    <row r="8" spans="2:14" x14ac:dyDescent="0.35">
      <c r="B8" s="58" t="s">
        <v>213</v>
      </c>
      <c r="C8" s="48" t="s">
        <v>212</v>
      </c>
      <c r="D8" s="48" t="s">
        <v>215</v>
      </c>
      <c r="E8" s="48"/>
      <c r="G8" s="48" t="s">
        <v>214</v>
      </c>
      <c r="H8" s="48" t="s">
        <v>215</v>
      </c>
      <c r="J8" s="111" t="s">
        <v>220</v>
      </c>
      <c r="K8" s="140">
        <f>N4</f>
        <v>0.23085296498465563</v>
      </c>
    </row>
    <row r="9" spans="2:14" x14ac:dyDescent="0.35">
      <c r="B9" s="57">
        <v>44932</v>
      </c>
      <c r="C9" s="56">
        <v>9328.2999999999993</v>
      </c>
      <c r="D9" s="28" t="s">
        <v>83</v>
      </c>
      <c r="G9" s="56">
        <v>17859.45</v>
      </c>
      <c r="H9" s="28" t="s">
        <v>83</v>
      </c>
      <c r="J9" s="111" t="s">
        <v>221</v>
      </c>
      <c r="K9" s="88">
        <v>0.75</v>
      </c>
    </row>
    <row r="10" spans="2:14" x14ac:dyDescent="0.35">
      <c r="B10" s="57">
        <v>44934</v>
      </c>
      <c r="C10" s="56">
        <v>9716.75</v>
      </c>
      <c r="D10" s="15">
        <f>C10/C9-1</f>
        <v>4.1642099846703085E-2</v>
      </c>
      <c r="G10" s="56">
        <v>17956.599999999999</v>
      </c>
      <c r="H10" s="15">
        <f>G10/G9-1</f>
        <v>5.4396971911228054E-3</v>
      </c>
      <c r="J10" s="111"/>
      <c r="K10" s="111"/>
    </row>
    <row r="11" spans="2:14" x14ac:dyDescent="0.35">
      <c r="B11" s="57">
        <v>44935</v>
      </c>
      <c r="C11" s="56">
        <v>10331.25</v>
      </c>
      <c r="D11" s="15">
        <f t="shared" ref="D11:D74" si="0">C11/C10-1</f>
        <v>6.3241310108832716E-2</v>
      </c>
      <c r="G11" s="56">
        <v>18027.650000000001</v>
      </c>
      <c r="H11" s="15">
        <f t="shared" ref="H11:H74" si="1">G11/G10-1</f>
        <v>3.9567624160476988E-3</v>
      </c>
      <c r="J11" s="111" t="s">
        <v>222</v>
      </c>
      <c r="K11" s="111">
        <v>1</v>
      </c>
    </row>
    <row r="12" spans="2:14" x14ac:dyDescent="0.35">
      <c r="B12" s="57">
        <v>44937</v>
      </c>
      <c r="C12" s="56">
        <v>10227.75</v>
      </c>
      <c r="D12" s="15">
        <f t="shared" si="0"/>
        <v>-1.00181488203267E-2</v>
      </c>
      <c r="G12" s="56">
        <v>17604.349999999999</v>
      </c>
      <c r="H12" s="15">
        <f t="shared" si="1"/>
        <v>-2.3480597859399488E-2</v>
      </c>
      <c r="J12" s="111" t="s">
        <v>223</v>
      </c>
      <c r="K12" s="88">
        <v>0.25</v>
      </c>
    </row>
    <row r="13" spans="2:14" x14ac:dyDescent="0.35">
      <c r="B13" s="57">
        <v>44938</v>
      </c>
      <c r="C13" s="56">
        <v>10585.7</v>
      </c>
      <c r="D13" s="15">
        <f t="shared" si="0"/>
        <v>3.4997922319180752E-2</v>
      </c>
      <c r="G13" s="56">
        <v>17854.05</v>
      </c>
      <c r="H13" s="15">
        <f t="shared" si="1"/>
        <v>1.4183994296864233E-2</v>
      </c>
      <c r="J13" s="111"/>
      <c r="K13" s="111"/>
    </row>
    <row r="14" spans="2:14" x14ac:dyDescent="0.35">
      <c r="B14" s="57">
        <v>44962</v>
      </c>
      <c r="C14" s="56">
        <v>8776.85</v>
      </c>
      <c r="D14" s="15">
        <f t="shared" si="0"/>
        <v>-0.17087674882152337</v>
      </c>
      <c r="G14" s="56">
        <v>17856.5</v>
      </c>
      <c r="H14" s="15">
        <f t="shared" si="1"/>
        <v>1.372237671564136E-4</v>
      </c>
      <c r="J14" s="111" t="s">
        <v>224</v>
      </c>
      <c r="K14" s="140">
        <f>(K8*K9)+(K11*K12)</f>
        <v>0.42313972373849174</v>
      </c>
    </row>
    <row r="15" spans="2:14" x14ac:dyDescent="0.35">
      <c r="B15" s="57">
        <v>44963</v>
      </c>
      <c r="C15" s="56">
        <v>9485.35</v>
      </c>
      <c r="D15" s="15">
        <f t="shared" si="0"/>
        <v>8.0723722064294234E-2</v>
      </c>
      <c r="G15" s="56">
        <v>17944.2</v>
      </c>
      <c r="H15" s="15">
        <f t="shared" si="1"/>
        <v>4.9113768095652155E-3</v>
      </c>
    </row>
    <row r="16" spans="2:14" x14ac:dyDescent="0.35">
      <c r="B16" s="57">
        <v>44965</v>
      </c>
      <c r="C16" s="56">
        <v>9653.7999999999993</v>
      </c>
      <c r="D16" s="15">
        <f t="shared" si="0"/>
        <v>1.7758965140980409E-2</v>
      </c>
      <c r="G16" s="56">
        <v>17465.8</v>
      </c>
      <c r="H16" s="15">
        <f t="shared" si="1"/>
        <v>-2.6660425095574092E-2</v>
      </c>
    </row>
    <row r="17" spans="2:8" x14ac:dyDescent="0.35">
      <c r="B17" s="57">
        <v>44968</v>
      </c>
      <c r="C17" s="56">
        <v>10303.6</v>
      </c>
      <c r="D17" s="15">
        <f t="shared" si="0"/>
        <v>6.7310281961507457E-2</v>
      </c>
      <c r="G17" s="56">
        <v>17594.349999999999</v>
      </c>
      <c r="H17" s="15">
        <f t="shared" si="1"/>
        <v>7.360098020130712E-3</v>
      </c>
    </row>
    <row r="18" spans="2:8" x14ac:dyDescent="0.35">
      <c r="B18" s="57">
        <v>44989</v>
      </c>
      <c r="C18" s="56">
        <v>8503.0499999999993</v>
      </c>
      <c r="D18" s="15">
        <f t="shared" si="0"/>
        <v>-0.17474960208082624</v>
      </c>
      <c r="G18" s="56">
        <v>17412.900000000001</v>
      </c>
      <c r="H18" s="15">
        <f t="shared" si="1"/>
        <v>-1.0312969788596749E-2</v>
      </c>
    </row>
    <row r="19" spans="2:8" x14ac:dyDescent="0.35">
      <c r="B19" s="57">
        <v>44990</v>
      </c>
      <c r="C19" s="56">
        <v>8797.2999999999993</v>
      </c>
      <c r="D19" s="15">
        <f t="shared" si="0"/>
        <v>3.4605229888098998E-2</v>
      </c>
      <c r="G19" s="56">
        <v>17100.05</v>
      </c>
      <c r="H19" s="15">
        <f t="shared" si="1"/>
        <v>-1.796656501788918E-2</v>
      </c>
    </row>
    <row r="20" spans="2:8" x14ac:dyDescent="0.35">
      <c r="B20" s="57">
        <v>44992</v>
      </c>
      <c r="C20" s="56">
        <v>9673</v>
      </c>
      <c r="D20" s="15">
        <f t="shared" si="0"/>
        <v>9.9541904902640699E-2</v>
      </c>
      <c r="G20" s="56">
        <v>16945.05</v>
      </c>
      <c r="H20" s="15">
        <f t="shared" si="1"/>
        <v>-9.0643009815760678E-3</v>
      </c>
    </row>
    <row r="21" spans="2:8" x14ac:dyDescent="0.35">
      <c r="B21" s="57">
        <v>44993</v>
      </c>
      <c r="C21" s="56">
        <v>9543.7000000000007</v>
      </c>
      <c r="D21" s="15">
        <f t="shared" si="0"/>
        <v>-1.3367104310968547E-2</v>
      </c>
      <c r="G21" s="56">
        <v>17359.75</v>
      </c>
      <c r="H21" s="15">
        <f t="shared" si="1"/>
        <v>2.4473223743807226E-2</v>
      </c>
    </row>
    <row r="22" spans="2:8" x14ac:dyDescent="0.35">
      <c r="B22" s="57">
        <v>44995</v>
      </c>
      <c r="C22" s="56">
        <v>10346.9</v>
      </c>
      <c r="D22" s="15">
        <f t="shared" si="0"/>
        <v>8.4160231356811277E-2</v>
      </c>
      <c r="G22" s="56">
        <v>17599.150000000001</v>
      </c>
      <c r="H22" s="15">
        <f t="shared" si="1"/>
        <v>1.3790521176860304E-2</v>
      </c>
    </row>
    <row r="23" spans="2:8" x14ac:dyDescent="0.35">
      <c r="B23" s="57">
        <v>44996</v>
      </c>
      <c r="C23" s="56">
        <v>10276.299999999999</v>
      </c>
      <c r="D23" s="15">
        <f t="shared" si="0"/>
        <v>-6.8232997322870137E-3</v>
      </c>
      <c r="G23" s="56">
        <v>17828</v>
      </c>
      <c r="H23" s="15">
        <f t="shared" si="1"/>
        <v>1.3003468917532901E-2</v>
      </c>
    </row>
    <row r="24" spans="2:8" x14ac:dyDescent="0.35">
      <c r="B24" s="57">
        <v>45002</v>
      </c>
      <c r="C24" s="56">
        <v>8316.85</v>
      </c>
      <c r="D24" s="15">
        <f t="shared" si="0"/>
        <v>-0.19067660539299158</v>
      </c>
      <c r="G24" s="56">
        <v>17624.05</v>
      </c>
      <c r="H24" s="15">
        <f t="shared" si="1"/>
        <v>-1.143986986762402E-2</v>
      </c>
    </row>
    <row r="25" spans="2:8" x14ac:dyDescent="0.35">
      <c r="B25" s="57">
        <v>45005</v>
      </c>
      <c r="C25" s="56">
        <v>8219.6</v>
      </c>
      <c r="D25" s="15">
        <f t="shared" si="0"/>
        <v>-1.1693129009180181E-2</v>
      </c>
      <c r="G25" s="56">
        <v>18065</v>
      </c>
      <c r="H25" s="15">
        <f t="shared" si="1"/>
        <v>2.5019788300645995E-2</v>
      </c>
    </row>
    <row r="26" spans="2:8" x14ac:dyDescent="0.35">
      <c r="B26" s="57">
        <v>45006</v>
      </c>
      <c r="C26" s="56">
        <v>8228.4</v>
      </c>
      <c r="D26" s="15">
        <f t="shared" si="0"/>
        <v>1.0706117085987898E-3</v>
      </c>
      <c r="G26" s="56">
        <v>18069</v>
      </c>
      <c r="H26" s="15">
        <f t="shared" si="1"/>
        <v>2.2142264046509652E-4</v>
      </c>
    </row>
    <row r="27" spans="2:8" x14ac:dyDescent="0.35">
      <c r="B27" s="57">
        <v>45007</v>
      </c>
      <c r="C27" s="56">
        <v>8252.4</v>
      </c>
      <c r="D27" s="15">
        <f t="shared" si="0"/>
        <v>2.9167274318215863E-3</v>
      </c>
      <c r="G27" s="56">
        <v>18314.8</v>
      </c>
      <c r="H27" s="15">
        <f t="shared" si="1"/>
        <v>1.3603409153799317E-2</v>
      </c>
    </row>
    <row r="28" spans="2:8" x14ac:dyDescent="0.35">
      <c r="B28" s="57">
        <v>45008</v>
      </c>
      <c r="C28" s="56">
        <v>8353.2000000000007</v>
      </c>
      <c r="D28" s="15">
        <f t="shared" si="0"/>
        <v>1.2214628471717504E-2</v>
      </c>
      <c r="G28" s="56">
        <v>18203.400000000001</v>
      </c>
      <c r="H28" s="15">
        <f t="shared" si="1"/>
        <v>-6.0825125035489647E-3</v>
      </c>
    </row>
    <row r="29" spans="2:8" x14ac:dyDescent="0.35">
      <c r="B29" s="57">
        <v>45009</v>
      </c>
      <c r="C29" s="56">
        <v>8242.9</v>
      </c>
      <c r="D29" s="15">
        <f t="shared" si="0"/>
        <v>-1.3204520423310995E-2</v>
      </c>
      <c r="G29" s="56">
        <v>18499.349999999999</v>
      </c>
      <c r="H29" s="15">
        <f t="shared" si="1"/>
        <v>1.6257951811200044E-2</v>
      </c>
    </row>
    <row r="30" spans="2:8" x14ac:dyDescent="0.35">
      <c r="B30" s="57">
        <v>45012</v>
      </c>
      <c r="C30" s="56">
        <v>8278.35</v>
      </c>
      <c r="D30" s="15">
        <f t="shared" si="0"/>
        <v>4.3006708803940974E-3</v>
      </c>
      <c r="G30" s="56">
        <v>18534.099999999999</v>
      </c>
      <c r="H30" s="15">
        <f t="shared" si="1"/>
        <v>1.8784443777755122E-3</v>
      </c>
    </row>
    <row r="31" spans="2:8" x14ac:dyDescent="0.35">
      <c r="B31" s="57">
        <v>45013</v>
      </c>
      <c r="C31" s="56">
        <v>8208.7999999999993</v>
      </c>
      <c r="D31" s="15">
        <f t="shared" si="0"/>
        <v>-8.40143265264226E-3</v>
      </c>
      <c r="G31" s="56">
        <v>18563.400000000001</v>
      </c>
      <c r="H31" s="15">
        <f t="shared" si="1"/>
        <v>1.5808698561032841E-3</v>
      </c>
    </row>
    <row r="32" spans="2:8" x14ac:dyDescent="0.35">
      <c r="B32" s="57">
        <v>45014</v>
      </c>
      <c r="C32" s="56">
        <v>8295.2999999999993</v>
      </c>
      <c r="D32" s="15">
        <f t="shared" si="0"/>
        <v>1.0537471981288293E-2</v>
      </c>
      <c r="G32" s="56">
        <v>18826</v>
      </c>
      <c r="H32" s="15">
        <f t="shared" si="1"/>
        <v>1.4146115474535925E-2</v>
      </c>
    </row>
    <row r="33" spans="2:8" x14ac:dyDescent="0.35">
      <c r="B33" s="57">
        <v>45016</v>
      </c>
      <c r="C33" s="56">
        <v>8292.15</v>
      </c>
      <c r="D33" s="15">
        <f t="shared" si="0"/>
        <v>-3.7973310187688902E-4</v>
      </c>
      <c r="G33" s="56">
        <v>18665.5</v>
      </c>
      <c r="H33" s="15">
        <f t="shared" si="1"/>
        <v>-8.5254435355359703E-3</v>
      </c>
    </row>
    <row r="34" spans="2:8" x14ac:dyDescent="0.35">
      <c r="B34" s="57">
        <v>45021</v>
      </c>
      <c r="C34" s="56">
        <v>8800.6</v>
      </c>
      <c r="D34" s="15">
        <f t="shared" si="0"/>
        <v>6.131702875611289E-2</v>
      </c>
      <c r="G34" s="56">
        <v>19189.05</v>
      </c>
      <c r="H34" s="15">
        <f t="shared" si="1"/>
        <v>2.8049074495727355E-2</v>
      </c>
    </row>
    <row r="35" spans="2:8" x14ac:dyDescent="0.35">
      <c r="B35" s="57">
        <v>45023</v>
      </c>
      <c r="C35" s="56">
        <v>9647.4</v>
      </c>
      <c r="D35" s="15">
        <f t="shared" si="0"/>
        <v>9.6220712224166505E-2</v>
      </c>
      <c r="G35" s="56">
        <v>19331.8</v>
      </c>
      <c r="H35" s="15">
        <f t="shared" si="1"/>
        <v>7.4391384669902916E-3</v>
      </c>
    </row>
    <row r="36" spans="2:8" x14ac:dyDescent="0.35">
      <c r="B36" s="57">
        <v>45024</v>
      </c>
      <c r="C36" s="56">
        <v>9470.4</v>
      </c>
      <c r="D36" s="15">
        <f t="shared" si="0"/>
        <v>-1.8346912121400605E-2</v>
      </c>
      <c r="G36" s="56">
        <v>19564.5</v>
      </c>
      <c r="H36" s="15">
        <f t="shared" si="1"/>
        <v>1.2037161567986399E-2</v>
      </c>
    </row>
    <row r="37" spans="2:8" x14ac:dyDescent="0.35">
      <c r="B37" s="57">
        <v>45025</v>
      </c>
      <c r="C37" s="56">
        <v>10362.450000000001</v>
      </c>
      <c r="D37" s="15">
        <f t="shared" si="0"/>
        <v>9.4193487075519666E-2</v>
      </c>
      <c r="G37" s="56">
        <v>19745</v>
      </c>
      <c r="H37" s="15">
        <f t="shared" si="1"/>
        <v>9.225893838329613E-3</v>
      </c>
    </row>
    <row r="38" spans="2:8" x14ac:dyDescent="0.35">
      <c r="B38" s="57">
        <v>45026</v>
      </c>
      <c r="C38" s="56">
        <v>10129.85</v>
      </c>
      <c r="D38" s="15">
        <f t="shared" si="0"/>
        <v>-2.244642917456785E-2</v>
      </c>
      <c r="G38" s="56">
        <v>19646.05</v>
      </c>
      <c r="H38" s="15">
        <f t="shared" si="1"/>
        <v>-5.0113952899468739E-3</v>
      </c>
    </row>
    <row r="39" spans="2:8" x14ac:dyDescent="0.35">
      <c r="B39" s="57">
        <v>45028</v>
      </c>
      <c r="C39" s="56">
        <v>10599.45</v>
      </c>
      <c r="D39" s="15">
        <f t="shared" si="0"/>
        <v>4.6358040839696635E-2</v>
      </c>
      <c r="G39" s="56">
        <v>19517</v>
      </c>
      <c r="H39" s="15">
        <f t="shared" si="1"/>
        <v>-6.568750461288575E-3</v>
      </c>
    </row>
    <row r="40" spans="2:8" x14ac:dyDescent="0.35">
      <c r="B40" s="57">
        <v>45029</v>
      </c>
      <c r="C40" s="56">
        <v>8670.7999999999993</v>
      </c>
      <c r="D40" s="15">
        <f t="shared" si="0"/>
        <v>-0.18195755440140771</v>
      </c>
      <c r="G40" s="56">
        <v>19428.3</v>
      </c>
      <c r="H40" s="15">
        <f t="shared" si="1"/>
        <v>-4.5447558538710409E-3</v>
      </c>
    </row>
    <row r="41" spans="2:8" x14ac:dyDescent="0.35">
      <c r="B41" s="57">
        <v>45033</v>
      </c>
      <c r="C41" s="56">
        <v>8674.65</v>
      </c>
      <c r="D41" s="15">
        <f t="shared" si="0"/>
        <v>4.4401900632018432E-4</v>
      </c>
      <c r="G41" s="56">
        <v>19310.150000000001</v>
      </c>
      <c r="H41" s="15">
        <f t="shared" si="1"/>
        <v>-6.0813349598265454E-3</v>
      </c>
    </row>
    <row r="42" spans="2:8" x14ac:dyDescent="0.35">
      <c r="B42" s="57">
        <v>45034</v>
      </c>
      <c r="C42" s="56">
        <v>8732.65</v>
      </c>
      <c r="D42" s="15">
        <f t="shared" si="0"/>
        <v>6.6861487206977266E-3</v>
      </c>
      <c r="G42" s="56">
        <v>19265.8</v>
      </c>
      <c r="H42" s="15">
        <f t="shared" si="1"/>
        <v>-2.2967196008317758E-3</v>
      </c>
    </row>
    <row r="43" spans="2:8" x14ac:dyDescent="0.35">
      <c r="B43" s="57">
        <v>45035</v>
      </c>
      <c r="C43" s="56">
        <v>8679.9500000000007</v>
      </c>
      <c r="D43" s="15">
        <f t="shared" si="0"/>
        <v>-6.0348233354134972E-3</v>
      </c>
      <c r="G43" s="56">
        <v>19435.3</v>
      </c>
      <c r="H43" s="15">
        <f t="shared" si="1"/>
        <v>8.7979736112697715E-3</v>
      </c>
    </row>
    <row r="44" spans="2:8" x14ac:dyDescent="0.35">
      <c r="B44" s="57">
        <v>45036</v>
      </c>
      <c r="C44" s="56">
        <v>8714.65</v>
      </c>
      <c r="D44" s="15">
        <f t="shared" si="0"/>
        <v>3.9977188808690833E-3</v>
      </c>
      <c r="G44" s="56">
        <v>19819.95</v>
      </c>
      <c r="H44" s="15">
        <f t="shared" si="1"/>
        <v>1.9791307569216876E-2</v>
      </c>
    </row>
    <row r="45" spans="2:8" x14ac:dyDescent="0.35">
      <c r="B45" s="57">
        <v>45037</v>
      </c>
      <c r="C45" s="56">
        <v>8558.4500000000007</v>
      </c>
      <c r="D45" s="15">
        <f t="shared" si="0"/>
        <v>-1.7923840888618425E-2</v>
      </c>
      <c r="G45" s="56">
        <v>20192.349999999999</v>
      </c>
      <c r="H45" s="15">
        <f t="shared" si="1"/>
        <v>1.8789149316723597E-2</v>
      </c>
    </row>
    <row r="46" spans="2:8" x14ac:dyDescent="0.35">
      <c r="B46" s="57">
        <v>45040</v>
      </c>
      <c r="C46" s="56">
        <v>8466.15</v>
      </c>
      <c r="D46" s="15">
        <f t="shared" si="0"/>
        <v>-1.07846631107269E-2</v>
      </c>
      <c r="G46" s="56">
        <v>19674.25</v>
      </c>
      <c r="H46" s="15">
        <f t="shared" si="1"/>
        <v>-2.5658231954180599E-2</v>
      </c>
    </row>
    <row r="47" spans="2:8" x14ac:dyDescent="0.35">
      <c r="B47" s="57">
        <v>45041</v>
      </c>
      <c r="C47" s="56">
        <v>8468.9</v>
      </c>
      <c r="D47" s="15">
        <f t="shared" si="0"/>
        <v>3.2482297148050954E-4</v>
      </c>
      <c r="G47" s="56">
        <v>19638.3</v>
      </c>
      <c r="H47" s="15">
        <f t="shared" si="1"/>
        <v>-1.8272615220402688E-3</v>
      </c>
    </row>
    <row r="48" spans="2:8" x14ac:dyDescent="0.35">
      <c r="B48" s="57">
        <v>45042</v>
      </c>
      <c r="C48" s="56">
        <v>8506.9</v>
      </c>
      <c r="D48" s="15">
        <f t="shared" si="0"/>
        <v>4.487005396214494E-3</v>
      </c>
      <c r="G48" s="56">
        <v>19653.5</v>
      </c>
      <c r="H48" s="15">
        <f t="shared" si="1"/>
        <v>7.7399774929598486E-4</v>
      </c>
    </row>
    <row r="49" spans="2:8" x14ac:dyDescent="0.35">
      <c r="B49" s="57">
        <v>45043</v>
      </c>
      <c r="C49" s="56">
        <v>8542.9500000000007</v>
      </c>
      <c r="D49" s="15">
        <f t="shared" si="0"/>
        <v>4.2377364257251138E-3</v>
      </c>
      <c r="G49" s="56">
        <v>19751.05</v>
      </c>
      <c r="H49" s="15">
        <f t="shared" si="1"/>
        <v>4.9634925076957881E-3</v>
      </c>
    </row>
    <row r="50" spans="2:8" x14ac:dyDescent="0.35">
      <c r="B50" s="57">
        <v>45044</v>
      </c>
      <c r="C50" s="56">
        <v>8589.5499999999993</v>
      </c>
      <c r="D50" s="15">
        <f t="shared" si="0"/>
        <v>5.4547902071295784E-3</v>
      </c>
      <c r="G50" s="56">
        <v>19542.650000000001</v>
      </c>
      <c r="H50" s="15">
        <f t="shared" si="1"/>
        <v>-1.0551337776978809E-2</v>
      </c>
    </row>
    <row r="51" spans="2:8" x14ac:dyDescent="0.35">
      <c r="B51" s="57">
        <v>45050</v>
      </c>
      <c r="C51" s="56">
        <v>8447.0499999999993</v>
      </c>
      <c r="D51" s="15">
        <f t="shared" si="0"/>
        <v>-1.6589926131171051E-2</v>
      </c>
      <c r="G51" s="56">
        <v>19047.25</v>
      </c>
      <c r="H51" s="15">
        <f t="shared" si="1"/>
        <v>-2.5349683896503383E-2</v>
      </c>
    </row>
    <row r="52" spans="2:8" x14ac:dyDescent="0.35">
      <c r="B52" s="57">
        <v>45051</v>
      </c>
      <c r="C52" s="56">
        <v>8948.65</v>
      </c>
      <c r="D52" s="15">
        <f t="shared" si="0"/>
        <v>5.938167762710056E-2</v>
      </c>
      <c r="G52" s="56">
        <v>19230.599999999999</v>
      </c>
      <c r="H52" s="15">
        <f t="shared" si="1"/>
        <v>9.6260615049414966E-3</v>
      </c>
    </row>
    <row r="53" spans="2:8" x14ac:dyDescent="0.35">
      <c r="B53" s="57">
        <v>45052</v>
      </c>
      <c r="C53" s="56">
        <v>9582.1</v>
      </c>
      <c r="D53" s="15">
        <f t="shared" si="0"/>
        <v>7.078721371380059E-2</v>
      </c>
      <c r="G53" s="56">
        <v>19425.349999999999</v>
      </c>
      <c r="H53" s="15">
        <f t="shared" si="1"/>
        <v>1.0127089118384225E-2</v>
      </c>
    </row>
    <row r="54" spans="2:8" x14ac:dyDescent="0.35">
      <c r="B54" s="57">
        <v>45053</v>
      </c>
      <c r="C54" s="56">
        <v>9992.2999999999993</v>
      </c>
      <c r="D54" s="15">
        <f t="shared" si="0"/>
        <v>4.2808987591446357E-2</v>
      </c>
      <c r="G54" s="56">
        <v>19731.8</v>
      </c>
      <c r="H54" s="15">
        <f t="shared" si="1"/>
        <v>1.5775777527818002E-2</v>
      </c>
    </row>
    <row r="55" spans="2:8" x14ac:dyDescent="0.35">
      <c r="B55" s="57">
        <v>45055</v>
      </c>
      <c r="C55" s="56">
        <v>10262.1</v>
      </c>
      <c r="D55" s="15">
        <f t="shared" si="0"/>
        <v>2.700079060876881E-2</v>
      </c>
      <c r="G55" s="56">
        <v>19794.7</v>
      </c>
      <c r="H55" s="15">
        <f t="shared" si="1"/>
        <v>3.1877476966115648E-3</v>
      </c>
    </row>
    <row r="56" spans="2:8" x14ac:dyDescent="0.35">
      <c r="B56" s="57">
        <v>45056</v>
      </c>
      <c r="C56" s="56">
        <v>10210.15</v>
      </c>
      <c r="D56" s="15">
        <f t="shared" si="0"/>
        <v>-5.0623166798219321E-3</v>
      </c>
      <c r="G56" s="56">
        <v>20267.900000000001</v>
      </c>
      <c r="H56" s="15">
        <f t="shared" si="1"/>
        <v>2.3905388816198414E-2</v>
      </c>
    </row>
    <row r="57" spans="2:8" x14ac:dyDescent="0.35">
      <c r="B57" s="57">
        <v>45058</v>
      </c>
      <c r="C57" s="56">
        <v>10721.9</v>
      </c>
      <c r="D57" s="15">
        <f t="shared" si="0"/>
        <v>5.0121692629393255E-2</v>
      </c>
      <c r="G57" s="56">
        <v>20969.400000000001</v>
      </c>
      <c r="H57" s="15">
        <f t="shared" si="1"/>
        <v>3.4611380557433069E-2</v>
      </c>
    </row>
    <row r="58" spans="2:8" x14ac:dyDescent="0.35">
      <c r="B58" s="57">
        <v>45061</v>
      </c>
      <c r="C58" s="56">
        <v>9207.2999999999993</v>
      </c>
      <c r="D58" s="15">
        <f t="shared" si="0"/>
        <v>-0.14126227627566013</v>
      </c>
      <c r="G58" s="56">
        <v>21456.65</v>
      </c>
      <c r="H58" s="15">
        <f t="shared" si="1"/>
        <v>2.3236239472755438E-2</v>
      </c>
    </row>
    <row r="59" spans="2:8" x14ac:dyDescent="0.35">
      <c r="B59" s="57">
        <v>45062</v>
      </c>
      <c r="C59" s="56">
        <v>9071.35</v>
      </c>
      <c r="D59" s="15">
        <f t="shared" si="0"/>
        <v>-1.4765457843233021E-2</v>
      </c>
      <c r="G59" s="56">
        <v>21349.4</v>
      </c>
      <c r="H59" s="15">
        <f t="shared" si="1"/>
        <v>-4.9984503638732525E-3</v>
      </c>
    </row>
    <row r="60" spans="2:8" x14ac:dyDescent="0.35">
      <c r="B60" s="57">
        <v>45063</v>
      </c>
      <c r="C60" s="56">
        <v>9119.4</v>
      </c>
      <c r="D60" s="15">
        <f t="shared" si="0"/>
        <v>5.2968962723298763E-3</v>
      </c>
      <c r="G60" s="56">
        <v>21731.4</v>
      </c>
      <c r="H60" s="15">
        <f t="shared" si="1"/>
        <v>1.7892774504201459E-2</v>
      </c>
    </row>
    <row r="61" spans="2:8" x14ac:dyDescent="0.35">
      <c r="B61" s="57">
        <v>45064</v>
      </c>
      <c r="C61" s="56">
        <v>9053.2999999999993</v>
      </c>
      <c r="D61" s="15">
        <f t="shared" si="0"/>
        <v>-7.2482838783253234E-3</v>
      </c>
      <c r="G61" s="56">
        <v>21710.799999999999</v>
      </c>
      <c r="H61" s="15">
        <f t="shared" si="1"/>
        <v>-9.479370864280412E-4</v>
      </c>
    </row>
    <row r="62" spans="2:8" x14ac:dyDescent="0.35">
      <c r="B62" s="57">
        <v>45065</v>
      </c>
      <c r="C62" s="56">
        <v>9105.9500000000007</v>
      </c>
      <c r="D62" s="15">
        <f t="shared" si="0"/>
        <v>5.8155589674484531E-3</v>
      </c>
      <c r="G62" s="56">
        <v>21894.55</v>
      </c>
      <c r="H62" s="15">
        <f t="shared" si="1"/>
        <v>8.4635296718684749E-3</v>
      </c>
    </row>
    <row r="63" spans="2:8" x14ac:dyDescent="0.35">
      <c r="B63" s="57">
        <v>45068</v>
      </c>
      <c r="C63" s="56">
        <v>9156.65</v>
      </c>
      <c r="D63" s="15">
        <f t="shared" si="0"/>
        <v>5.5677880945974589E-3</v>
      </c>
      <c r="G63" s="56">
        <v>21622.400000000001</v>
      </c>
      <c r="H63" s="15">
        <f t="shared" si="1"/>
        <v>-1.2430033958222397E-2</v>
      </c>
    </row>
    <row r="64" spans="2:8" x14ac:dyDescent="0.35">
      <c r="B64" s="57">
        <v>45069</v>
      </c>
      <c r="C64" s="56">
        <v>9200.7000000000007</v>
      </c>
      <c r="D64" s="15">
        <f t="shared" si="0"/>
        <v>4.8107113409381341E-3</v>
      </c>
      <c r="G64" s="56">
        <v>21352.6</v>
      </c>
      <c r="H64" s="15">
        <f t="shared" si="1"/>
        <v>-1.2477800799171379E-2</v>
      </c>
    </row>
    <row r="65" spans="2:8" x14ac:dyDescent="0.35">
      <c r="B65" s="57">
        <v>45070</v>
      </c>
      <c r="C65" s="56">
        <v>9270.75</v>
      </c>
      <c r="D65" s="15">
        <f t="shared" si="0"/>
        <v>7.6135511428476743E-3</v>
      </c>
      <c r="G65" s="56">
        <v>21853.8</v>
      </c>
      <c r="H65" s="15">
        <f t="shared" si="1"/>
        <v>2.3472551352060167E-2</v>
      </c>
    </row>
    <row r="66" spans="2:8" x14ac:dyDescent="0.35">
      <c r="B66" s="57">
        <v>45071</v>
      </c>
      <c r="C66" s="56">
        <v>9281.85</v>
      </c>
      <c r="D66" s="15">
        <f t="shared" si="0"/>
        <v>1.1973141331607096E-3</v>
      </c>
      <c r="G66" s="56">
        <v>21782.5</v>
      </c>
      <c r="H66" s="15">
        <f t="shared" si="1"/>
        <v>-3.2625904876955047E-3</v>
      </c>
    </row>
    <row r="67" spans="2:8" x14ac:dyDescent="0.35">
      <c r="B67" s="57">
        <v>45072</v>
      </c>
      <c r="C67" s="56">
        <v>9399.9500000000007</v>
      </c>
      <c r="D67" s="15">
        <f t="shared" si="0"/>
        <v>1.2723756578699286E-2</v>
      </c>
      <c r="G67" s="56">
        <v>22040.7</v>
      </c>
      <c r="H67" s="15">
        <f t="shared" si="1"/>
        <v>1.1853552163433978E-2</v>
      </c>
    </row>
    <row r="68" spans="2:8" x14ac:dyDescent="0.35">
      <c r="B68" s="57">
        <v>45075</v>
      </c>
      <c r="C68" s="56">
        <v>9333.5</v>
      </c>
      <c r="D68" s="15">
        <f t="shared" si="0"/>
        <v>-7.0691865382263019E-3</v>
      </c>
      <c r="G68" s="56">
        <v>22212.7</v>
      </c>
      <c r="H68" s="15">
        <f t="shared" si="1"/>
        <v>7.8037448901351336E-3</v>
      </c>
    </row>
    <row r="69" spans="2:8" x14ac:dyDescent="0.35">
      <c r="B69" s="57">
        <v>45076</v>
      </c>
      <c r="C69" s="56">
        <v>9383.35</v>
      </c>
      <c r="D69" s="15">
        <f t="shared" si="0"/>
        <v>5.3409760539990803E-3</v>
      </c>
      <c r="G69" s="56">
        <v>22338.75</v>
      </c>
      <c r="H69" s="15">
        <f t="shared" si="1"/>
        <v>5.6746816010659895E-3</v>
      </c>
    </row>
    <row r="70" spans="2:8" x14ac:dyDescent="0.35">
      <c r="B70" s="57">
        <v>45077</v>
      </c>
      <c r="C70" s="56">
        <v>9367.7000000000007</v>
      </c>
      <c r="D70" s="15">
        <f t="shared" si="0"/>
        <v>-1.6678478368599148E-3</v>
      </c>
      <c r="G70" s="56">
        <v>22493.55</v>
      </c>
      <c r="H70" s="15">
        <f t="shared" si="1"/>
        <v>6.929662581836471E-3</v>
      </c>
    </row>
    <row r="71" spans="2:8" x14ac:dyDescent="0.35">
      <c r="B71" s="57">
        <v>45081</v>
      </c>
      <c r="C71" s="56">
        <v>8516.65</v>
      </c>
      <c r="D71" s="15">
        <f t="shared" si="0"/>
        <v>-9.0849408072419147E-2</v>
      </c>
      <c r="G71" s="56">
        <v>22023.35</v>
      </c>
      <c r="H71" s="15">
        <f t="shared" si="1"/>
        <v>-2.0903770191899484E-2</v>
      </c>
    </row>
    <row r="72" spans="2:8" x14ac:dyDescent="0.35">
      <c r="B72" s="57">
        <v>45083</v>
      </c>
      <c r="C72" s="56">
        <v>9736.2000000000007</v>
      </c>
      <c r="D72" s="15">
        <f t="shared" si="0"/>
        <v>0.14319597494319969</v>
      </c>
      <c r="G72" s="56">
        <v>22096.75</v>
      </c>
      <c r="H72" s="15">
        <f t="shared" si="1"/>
        <v>3.3328262957270649E-3</v>
      </c>
    </row>
    <row r="73" spans="2:8" x14ac:dyDescent="0.35">
      <c r="B73" s="57">
        <v>45084</v>
      </c>
      <c r="C73" s="56">
        <v>9859.4</v>
      </c>
      <c r="D73" s="15">
        <f t="shared" si="0"/>
        <v>1.2653807440274223E-2</v>
      </c>
      <c r="G73" s="56">
        <v>22326.9</v>
      </c>
      <c r="H73" s="15">
        <f t="shared" si="1"/>
        <v>1.0415558849152129E-2</v>
      </c>
    </row>
    <row r="74" spans="2:8" x14ac:dyDescent="0.35">
      <c r="B74" s="57">
        <v>45086</v>
      </c>
      <c r="C74" s="56">
        <v>10178.85</v>
      </c>
      <c r="D74" s="15">
        <f t="shared" si="0"/>
        <v>3.2400551757713503E-2</v>
      </c>
      <c r="G74" s="56">
        <v>22513.7</v>
      </c>
      <c r="H74" s="15">
        <f t="shared" si="1"/>
        <v>8.3665891816597782E-3</v>
      </c>
    </row>
    <row r="75" spans="2:8" x14ac:dyDescent="0.35">
      <c r="B75" s="57">
        <v>45087</v>
      </c>
      <c r="C75" s="56">
        <v>10302.049999999999</v>
      </c>
      <c r="D75" s="15">
        <f t="shared" ref="D75:D138" si="2">C75/C74-1</f>
        <v>1.2103528394661334E-2</v>
      </c>
      <c r="G75" s="56">
        <v>22519.4</v>
      </c>
      <c r="H75" s="15">
        <f t="shared" ref="H75:H125" si="3">G75/G74-1</f>
        <v>2.5317917534661838E-4</v>
      </c>
    </row>
    <row r="76" spans="2:8" x14ac:dyDescent="0.35">
      <c r="B76" s="57">
        <v>45088</v>
      </c>
      <c r="C76" s="56">
        <v>10284.85</v>
      </c>
      <c r="D76" s="15">
        <f t="shared" si="2"/>
        <v>-1.6695706194397308E-3</v>
      </c>
      <c r="G76" s="56">
        <v>22147</v>
      </c>
      <c r="H76" s="15">
        <f t="shared" si="3"/>
        <v>-1.6536852669254087E-2</v>
      </c>
    </row>
    <row r="77" spans="2:8" x14ac:dyDescent="0.35">
      <c r="B77" s="57">
        <v>45089</v>
      </c>
      <c r="C77" s="56">
        <v>10625.75</v>
      </c>
      <c r="D77" s="15">
        <f t="shared" si="2"/>
        <v>3.3145840726894304E-2</v>
      </c>
      <c r="G77" s="56">
        <v>22419.95</v>
      </c>
      <c r="H77" s="15">
        <f t="shared" si="3"/>
        <v>1.2324468325281002E-2</v>
      </c>
    </row>
    <row r="78" spans="2:8" x14ac:dyDescent="0.35">
      <c r="B78" s="57">
        <v>45090</v>
      </c>
      <c r="C78" s="56">
        <v>9517.5</v>
      </c>
      <c r="D78" s="15">
        <f t="shared" si="2"/>
        <v>-0.10429852010446317</v>
      </c>
      <c r="G78" s="56">
        <v>22475.85</v>
      </c>
      <c r="H78" s="15">
        <f t="shared" si="3"/>
        <v>2.4933151055197555E-3</v>
      </c>
    </row>
    <row r="79" spans="2:8" x14ac:dyDescent="0.35">
      <c r="B79" s="57">
        <v>45091</v>
      </c>
      <c r="C79" s="56">
        <v>9532.5</v>
      </c>
      <c r="D79" s="15">
        <f t="shared" si="2"/>
        <v>1.5760441292356209E-3</v>
      </c>
      <c r="G79" s="56">
        <v>22055.200000000001</v>
      </c>
      <c r="H79" s="15">
        <f t="shared" si="3"/>
        <v>-1.8715643679771743E-2</v>
      </c>
    </row>
    <row r="80" spans="2:8" x14ac:dyDescent="0.35">
      <c r="B80" s="57">
        <v>45092</v>
      </c>
      <c r="C80" s="56">
        <v>9594.85</v>
      </c>
      <c r="D80" s="15">
        <f t="shared" si="2"/>
        <v>6.5407815368476729E-3</v>
      </c>
      <c r="G80" s="56">
        <v>22466.1</v>
      </c>
      <c r="H80" s="15">
        <f t="shared" si="3"/>
        <v>1.8630527041241907E-2</v>
      </c>
    </row>
    <row r="81" spans="2:8" x14ac:dyDescent="0.35">
      <c r="B81" s="57">
        <v>45093</v>
      </c>
      <c r="C81" s="56">
        <v>9603.7000000000007</v>
      </c>
      <c r="D81" s="15">
        <f t="shared" si="2"/>
        <v>9.223698129725566E-4</v>
      </c>
      <c r="G81" s="56">
        <v>22957.1</v>
      </c>
      <c r="H81" s="15">
        <f t="shared" si="3"/>
        <v>2.1855150649200406E-2</v>
      </c>
    </row>
    <row r="82" spans="2:8" x14ac:dyDescent="0.35">
      <c r="B82" s="57">
        <v>45096</v>
      </c>
      <c r="C82" s="56">
        <v>9532</v>
      </c>
      <c r="D82" s="15">
        <f t="shared" si="2"/>
        <v>-7.4658725282964467E-3</v>
      </c>
      <c r="G82" s="56">
        <v>22530.7</v>
      </c>
      <c r="H82" s="15">
        <f t="shared" si="3"/>
        <v>-1.8573774562117951E-2</v>
      </c>
    </row>
    <row r="83" spans="2:8" x14ac:dyDescent="0.35">
      <c r="B83" s="57">
        <v>45097</v>
      </c>
      <c r="C83" s="56">
        <v>9492.1</v>
      </c>
      <c r="D83" s="15">
        <f t="shared" si="2"/>
        <v>-4.1859001258917061E-3</v>
      </c>
      <c r="G83" s="56">
        <v>23290.15</v>
      </c>
      <c r="H83" s="15">
        <f t="shared" si="3"/>
        <v>3.3707341538434354E-2</v>
      </c>
    </row>
    <row r="84" spans="2:8" x14ac:dyDescent="0.35">
      <c r="B84" s="57">
        <v>45098</v>
      </c>
      <c r="C84" s="56">
        <v>9440.85</v>
      </c>
      <c r="D84" s="15">
        <f t="shared" si="2"/>
        <v>-5.399226725382178E-3</v>
      </c>
      <c r="G84" s="56">
        <v>23465.599999999999</v>
      </c>
      <c r="H84" s="15">
        <f t="shared" si="3"/>
        <v>7.5332275661599279E-3</v>
      </c>
    </row>
    <row r="85" spans="2:8" x14ac:dyDescent="0.35">
      <c r="B85" s="57">
        <v>45099</v>
      </c>
      <c r="C85" s="56">
        <v>9403.0499999999993</v>
      </c>
      <c r="D85" s="15">
        <f t="shared" si="2"/>
        <v>-4.0038767695707023E-3</v>
      </c>
      <c r="G85" s="56">
        <v>23501.1</v>
      </c>
      <c r="H85" s="15">
        <f t="shared" si="3"/>
        <v>1.5128528569481325E-3</v>
      </c>
    </row>
    <row r="86" spans="2:8" x14ac:dyDescent="0.35">
      <c r="B86" s="57">
        <v>45100</v>
      </c>
      <c r="C86" s="56">
        <v>9327.2999999999993</v>
      </c>
      <c r="D86" s="15">
        <f t="shared" si="2"/>
        <v>-8.0558967569033246E-3</v>
      </c>
      <c r="G86" s="56">
        <v>24010.6</v>
      </c>
      <c r="H86" s="15">
        <f t="shared" si="3"/>
        <v>2.1679836262983532E-2</v>
      </c>
    </row>
    <row r="87" spans="2:8" x14ac:dyDescent="0.35">
      <c r="B87" s="57">
        <v>45103</v>
      </c>
      <c r="C87" s="56">
        <v>9470.2000000000007</v>
      </c>
      <c r="D87" s="15">
        <f t="shared" si="2"/>
        <v>1.5320617970902672E-2</v>
      </c>
      <c r="G87" s="56">
        <v>24323.85</v>
      </c>
      <c r="H87" s="15">
        <f t="shared" si="3"/>
        <v>1.3046321208133094E-2</v>
      </c>
    </row>
    <row r="88" spans="2:8" x14ac:dyDescent="0.35">
      <c r="B88" s="57">
        <v>45104</v>
      </c>
      <c r="C88" s="56">
        <v>9461</v>
      </c>
      <c r="D88" s="15">
        <f t="shared" si="2"/>
        <v>-9.7146839559891784E-4</v>
      </c>
      <c r="G88" s="56">
        <v>24502.15</v>
      </c>
      <c r="H88" s="15">
        <f t="shared" si="3"/>
        <v>7.3302540510651326E-3</v>
      </c>
    </row>
    <row r="89" spans="2:8" x14ac:dyDescent="0.35">
      <c r="B89" s="57">
        <v>45105</v>
      </c>
      <c r="C89" s="56">
        <v>9540.65</v>
      </c>
      <c r="D89" s="15">
        <f t="shared" si="2"/>
        <v>8.418771800021041E-3</v>
      </c>
      <c r="G89" s="56">
        <v>24530.9</v>
      </c>
      <c r="H89" s="15">
        <f t="shared" si="3"/>
        <v>1.1733664188653403E-3</v>
      </c>
    </row>
    <row r="90" spans="2:8" x14ac:dyDescent="0.35">
      <c r="B90" s="57">
        <v>45107</v>
      </c>
      <c r="C90" s="56">
        <v>9789.0499999999993</v>
      </c>
      <c r="D90" s="15">
        <f t="shared" si="2"/>
        <v>2.6035961910352068E-2</v>
      </c>
      <c r="G90" s="56">
        <v>24834.85</v>
      </c>
      <c r="H90" s="15">
        <f t="shared" si="3"/>
        <v>1.2390495252925682E-2</v>
      </c>
    </row>
    <row r="91" spans="2:8" x14ac:dyDescent="0.35">
      <c r="B91" s="57">
        <v>45113</v>
      </c>
      <c r="C91" s="56">
        <v>9707.5</v>
      </c>
      <c r="D91" s="15">
        <f t="shared" si="2"/>
        <v>-8.3307368947956872E-3</v>
      </c>
      <c r="G91" s="56">
        <v>24717.7</v>
      </c>
      <c r="H91" s="15">
        <f t="shared" si="3"/>
        <v>-4.7171615693268887E-3</v>
      </c>
    </row>
    <row r="92" spans="2:8" x14ac:dyDescent="0.35">
      <c r="B92" s="57">
        <v>45114</v>
      </c>
      <c r="C92" s="56">
        <v>9850.25</v>
      </c>
      <c r="D92" s="15">
        <f t="shared" si="2"/>
        <v>1.4705124903425126E-2</v>
      </c>
      <c r="G92" s="56">
        <v>24367.5</v>
      </c>
      <c r="H92" s="15">
        <f t="shared" si="3"/>
        <v>-1.4167984885325113E-2</v>
      </c>
    </row>
    <row r="93" spans="2:8" x14ac:dyDescent="0.35">
      <c r="B93" s="57">
        <v>45115</v>
      </c>
      <c r="C93" s="56">
        <v>9523.7999999999993</v>
      </c>
      <c r="D93" s="15">
        <f t="shared" si="2"/>
        <v>-3.3141290830182024E-2</v>
      </c>
      <c r="G93" s="56">
        <v>24541.15</v>
      </c>
      <c r="H93" s="15">
        <f t="shared" si="3"/>
        <v>7.1262952703396998E-3</v>
      </c>
    </row>
    <row r="94" spans="2:8" x14ac:dyDescent="0.35">
      <c r="B94" s="57">
        <v>45116</v>
      </c>
      <c r="C94" s="56">
        <v>10280.75</v>
      </c>
      <c r="D94" s="15">
        <f t="shared" si="2"/>
        <v>7.9479829479829567E-2</v>
      </c>
      <c r="G94" s="56">
        <v>24823.15</v>
      </c>
      <c r="H94" s="15">
        <f t="shared" si="3"/>
        <v>1.1490904052988471E-2</v>
      </c>
    </row>
    <row r="95" spans="2:8" x14ac:dyDescent="0.35">
      <c r="B95" s="57">
        <v>45118</v>
      </c>
      <c r="C95" s="56">
        <v>10253.299999999999</v>
      </c>
      <c r="D95" s="15">
        <f t="shared" si="2"/>
        <v>-2.6700386644944452E-3</v>
      </c>
      <c r="G95" s="56">
        <v>25235.9</v>
      </c>
      <c r="H95" s="15">
        <f t="shared" si="3"/>
        <v>1.6627623810837822E-2</v>
      </c>
    </row>
    <row r="96" spans="2:8" x14ac:dyDescent="0.35">
      <c r="B96" s="57">
        <v>45119</v>
      </c>
      <c r="C96" s="56">
        <v>10696.65</v>
      </c>
      <c r="D96" s="15">
        <f t="shared" si="2"/>
        <v>4.3239737450381899E-2</v>
      </c>
      <c r="G96" s="56">
        <v>24852.15</v>
      </c>
      <c r="H96" s="15">
        <f t="shared" si="3"/>
        <v>-1.5206511358818231E-2</v>
      </c>
    </row>
    <row r="97" spans="2:8" x14ac:dyDescent="0.35">
      <c r="B97" s="57">
        <v>45120</v>
      </c>
      <c r="C97" s="56">
        <v>9647.5499999999993</v>
      </c>
      <c r="D97" s="15">
        <f t="shared" si="2"/>
        <v>-9.8077435458765128E-2</v>
      </c>
      <c r="G97" s="56">
        <v>25356.5</v>
      </c>
      <c r="H97" s="15">
        <f t="shared" si="3"/>
        <v>2.0294018827344829E-2</v>
      </c>
    </row>
    <row r="98" spans="2:8" x14ac:dyDescent="0.35">
      <c r="B98" s="57">
        <v>45121</v>
      </c>
      <c r="C98" s="56">
        <v>9603.65</v>
      </c>
      <c r="D98" s="15">
        <f t="shared" si="2"/>
        <v>-4.5503780752625955E-3</v>
      </c>
      <c r="G98" s="56">
        <v>25790.95</v>
      </c>
      <c r="H98" s="15">
        <f t="shared" si="3"/>
        <v>1.7133673811448702E-2</v>
      </c>
    </row>
    <row r="99" spans="2:8" x14ac:dyDescent="0.35">
      <c r="B99" s="57">
        <v>45124</v>
      </c>
      <c r="C99" s="56">
        <v>9689.5499999999993</v>
      </c>
      <c r="D99" s="15">
        <f t="shared" si="2"/>
        <v>8.9445158871885866E-3</v>
      </c>
      <c r="G99" s="56">
        <v>26178.95</v>
      </c>
      <c r="H99" s="15">
        <f t="shared" si="3"/>
        <v>1.5044036764834123E-2</v>
      </c>
    </row>
    <row r="100" spans="2:8" x14ac:dyDescent="0.35">
      <c r="B100" s="57">
        <v>45125</v>
      </c>
      <c r="C100" s="56">
        <v>9665.65</v>
      </c>
      <c r="D100" s="15">
        <f t="shared" si="2"/>
        <v>-2.4665748151359024E-3</v>
      </c>
      <c r="G100" s="56">
        <v>25014.6</v>
      </c>
      <c r="H100" s="15">
        <f t="shared" si="3"/>
        <v>-4.4476573735768743E-2</v>
      </c>
    </row>
    <row r="101" spans="2:8" x14ac:dyDescent="0.35">
      <c r="B101" s="57">
        <v>45126</v>
      </c>
      <c r="C101" s="56">
        <v>9607.5499999999993</v>
      </c>
      <c r="D101" s="15">
        <f t="shared" si="2"/>
        <v>-6.0109770165482912E-3</v>
      </c>
      <c r="G101" s="56">
        <v>24964.25</v>
      </c>
      <c r="H101" s="15">
        <f t="shared" si="3"/>
        <v>-2.0128245104857889E-3</v>
      </c>
    </row>
    <row r="102" spans="2:8" x14ac:dyDescent="0.35">
      <c r="B102" s="57">
        <v>45127</v>
      </c>
      <c r="C102" s="56">
        <v>9772.5</v>
      </c>
      <c r="D102" s="15">
        <f t="shared" si="2"/>
        <v>1.71687891293828E-2</v>
      </c>
      <c r="G102" s="56">
        <v>24854.05</v>
      </c>
      <c r="H102" s="15">
        <f t="shared" si="3"/>
        <v>-4.4143124668275524E-3</v>
      </c>
    </row>
    <row r="103" spans="2:8" x14ac:dyDescent="0.35">
      <c r="B103" s="57">
        <v>45128</v>
      </c>
      <c r="C103" s="56">
        <v>9770.0499999999993</v>
      </c>
      <c r="D103" s="15">
        <f t="shared" si="2"/>
        <v>-2.5070350473277436E-4</v>
      </c>
      <c r="G103" s="56">
        <v>24180.799999999999</v>
      </c>
      <c r="H103" s="15">
        <f t="shared" si="3"/>
        <v>-2.7088140564616281E-2</v>
      </c>
    </row>
    <row r="104" spans="2:8" x14ac:dyDescent="0.35">
      <c r="B104" s="57">
        <v>45131</v>
      </c>
      <c r="C104" s="56">
        <v>9694.7999999999993</v>
      </c>
      <c r="D104" s="15">
        <f t="shared" si="2"/>
        <v>-7.7021100199077264E-3</v>
      </c>
      <c r="G104" s="56">
        <v>24304.35</v>
      </c>
      <c r="H104" s="15">
        <f t="shared" si="3"/>
        <v>5.1094256600276999E-3</v>
      </c>
    </row>
    <row r="105" spans="2:8" x14ac:dyDescent="0.35">
      <c r="B105" s="57">
        <v>45132</v>
      </c>
      <c r="C105" s="56">
        <v>9758.6</v>
      </c>
      <c r="D105" s="15">
        <f t="shared" si="2"/>
        <v>6.5808474646202875E-3</v>
      </c>
      <c r="G105" s="56">
        <v>24148.2</v>
      </c>
      <c r="H105" s="15">
        <f t="shared" si="3"/>
        <v>-6.4247758117372822E-3</v>
      </c>
    </row>
    <row r="106" spans="2:8" x14ac:dyDescent="0.35">
      <c r="B106" s="57">
        <v>45133</v>
      </c>
      <c r="C106" s="56">
        <v>9756.35</v>
      </c>
      <c r="D106" s="15">
        <f t="shared" si="2"/>
        <v>-2.3056585985692379E-4</v>
      </c>
      <c r="G106" s="56">
        <v>23532.7</v>
      </c>
      <c r="H106" s="15">
        <f t="shared" si="3"/>
        <v>-2.5488442202731498E-2</v>
      </c>
    </row>
    <row r="107" spans="2:8" x14ac:dyDescent="0.35">
      <c r="B107" s="57">
        <v>45134</v>
      </c>
      <c r="C107" s="56">
        <v>9753.6</v>
      </c>
      <c r="D107" s="15">
        <f t="shared" si="2"/>
        <v>-2.8186770667304462E-4</v>
      </c>
      <c r="G107" s="56">
        <v>23907.25</v>
      </c>
      <c r="H107" s="15">
        <f t="shared" si="3"/>
        <v>1.5916150717937061E-2</v>
      </c>
    </row>
    <row r="108" spans="2:8" x14ac:dyDescent="0.35">
      <c r="B108" s="57">
        <v>45135</v>
      </c>
      <c r="C108" s="56">
        <v>9670.2999999999993</v>
      </c>
      <c r="D108" s="15">
        <f t="shared" si="2"/>
        <v>-8.5404363517060933E-3</v>
      </c>
      <c r="G108" s="56">
        <v>24131.1</v>
      </c>
      <c r="H108" s="15">
        <f t="shared" si="3"/>
        <v>9.3632684645870157E-3</v>
      </c>
    </row>
    <row r="109" spans="2:8" x14ac:dyDescent="0.35">
      <c r="B109" s="57">
        <v>45138</v>
      </c>
      <c r="C109" s="56">
        <v>9820.75</v>
      </c>
      <c r="D109" s="15">
        <f t="shared" si="2"/>
        <v>1.5557945461878164E-2</v>
      </c>
      <c r="G109" s="56">
        <v>24677.8</v>
      </c>
      <c r="H109" s="15">
        <f t="shared" si="3"/>
        <v>2.2655411481449228E-2</v>
      </c>
    </row>
    <row r="110" spans="2:8" x14ac:dyDescent="0.35">
      <c r="B110" s="57">
        <v>45143</v>
      </c>
      <c r="C110" s="56">
        <v>9076.25</v>
      </c>
      <c r="D110" s="15">
        <f t="shared" si="2"/>
        <v>-7.5808874067662901E-2</v>
      </c>
      <c r="G110" s="56">
        <v>24768.3</v>
      </c>
      <c r="H110" s="15">
        <f t="shared" si="3"/>
        <v>3.6672636944945491E-3</v>
      </c>
    </row>
    <row r="111" spans="2:8" x14ac:dyDescent="0.35">
      <c r="B111" s="57">
        <v>45144</v>
      </c>
      <c r="C111" s="56">
        <v>9658.6</v>
      </c>
      <c r="D111" s="15">
        <f t="shared" si="2"/>
        <v>6.416196116237427E-2</v>
      </c>
      <c r="G111" s="56">
        <v>23587.5</v>
      </c>
      <c r="H111" s="15">
        <f t="shared" si="3"/>
        <v>-4.7673841159869612E-2</v>
      </c>
    </row>
    <row r="112" spans="2:8" x14ac:dyDescent="0.35">
      <c r="B112" s="57">
        <v>45146</v>
      </c>
      <c r="C112" s="56">
        <v>9542.5499999999993</v>
      </c>
      <c r="D112" s="15">
        <f t="shared" si="2"/>
        <v>-1.2015198890108381E-2</v>
      </c>
      <c r="G112" s="56">
        <v>23813.4</v>
      </c>
      <c r="H112" s="15">
        <f t="shared" si="3"/>
        <v>9.5771065182830295E-3</v>
      </c>
    </row>
    <row r="113" spans="2:8" x14ac:dyDescent="0.35">
      <c r="B113" s="57">
        <v>45147</v>
      </c>
      <c r="C113" s="56">
        <v>10332</v>
      </c>
      <c r="D113" s="15">
        <f t="shared" si="2"/>
        <v>8.2729459106842596E-2</v>
      </c>
      <c r="G113" s="56">
        <v>24004.75</v>
      </c>
      <c r="H113" s="15">
        <f t="shared" si="3"/>
        <v>8.035391838208783E-3</v>
      </c>
    </row>
    <row r="114" spans="2:8" x14ac:dyDescent="0.35">
      <c r="B114" s="57">
        <v>45149</v>
      </c>
      <c r="C114" s="56">
        <v>10322.299999999999</v>
      </c>
      <c r="D114" s="15">
        <f t="shared" si="2"/>
        <v>-9.3883081687962111E-4</v>
      </c>
      <c r="G114" s="56">
        <v>23431.5</v>
      </c>
      <c r="H114" s="15">
        <f t="shared" si="3"/>
        <v>-2.3880690280048689E-2</v>
      </c>
    </row>
    <row r="115" spans="2:8" x14ac:dyDescent="0.35">
      <c r="B115" s="57">
        <v>45150</v>
      </c>
      <c r="C115" s="56">
        <v>10618.55</v>
      </c>
      <c r="D115" s="15">
        <f t="shared" si="2"/>
        <v>2.8699999031223555E-2</v>
      </c>
      <c r="G115" s="56">
        <v>23203.200000000001</v>
      </c>
      <c r="H115" s="15">
        <f t="shared" si="3"/>
        <v>-9.7432942833365344E-3</v>
      </c>
    </row>
    <row r="116" spans="2:8" x14ac:dyDescent="0.35">
      <c r="B116" s="57">
        <v>45152</v>
      </c>
      <c r="C116" s="56">
        <v>9321.65</v>
      </c>
      <c r="D116" s="15">
        <f t="shared" si="2"/>
        <v>-0.12213531979413383</v>
      </c>
      <c r="G116" s="56">
        <v>23092.2</v>
      </c>
      <c r="H116" s="15">
        <f t="shared" si="3"/>
        <v>-4.7838229209764549E-3</v>
      </c>
    </row>
    <row r="117" spans="2:8" x14ac:dyDescent="0.35">
      <c r="B117" s="57">
        <v>45154</v>
      </c>
      <c r="C117" s="56">
        <v>9419.5499999999993</v>
      </c>
      <c r="D117" s="15">
        <f t="shared" si="2"/>
        <v>1.0502432509265969E-2</v>
      </c>
      <c r="G117" s="56">
        <v>23508.400000000001</v>
      </c>
      <c r="H117" s="15">
        <f t="shared" si="3"/>
        <v>1.8023401841314346E-2</v>
      </c>
    </row>
    <row r="118" spans="2:8" x14ac:dyDescent="0.35">
      <c r="B118" s="57">
        <v>45155</v>
      </c>
      <c r="C118" s="56">
        <v>9375.2999999999993</v>
      </c>
      <c r="D118" s="15">
        <f t="shared" si="2"/>
        <v>-4.6976766406038317E-3</v>
      </c>
      <c r="G118" s="56">
        <v>23559.95</v>
      </c>
      <c r="H118" s="15">
        <f t="shared" si="3"/>
        <v>2.1928332000475947E-3</v>
      </c>
    </row>
    <row r="119" spans="2:8" x14ac:dyDescent="0.35">
      <c r="B119" s="57">
        <v>45156</v>
      </c>
      <c r="C119" s="56">
        <v>9456.0499999999993</v>
      </c>
      <c r="D119" s="15">
        <f t="shared" si="2"/>
        <v>8.6130577154863719E-3</v>
      </c>
      <c r="G119" s="56">
        <v>22929.25</v>
      </c>
      <c r="H119" s="15">
        <f t="shared" si="3"/>
        <v>-2.6770005878620329E-2</v>
      </c>
    </row>
    <row r="120" spans="2:8" x14ac:dyDescent="0.35">
      <c r="B120" s="57">
        <v>45159</v>
      </c>
      <c r="C120" s="56">
        <v>9438.7999999999993</v>
      </c>
      <c r="D120" s="15">
        <f t="shared" si="2"/>
        <v>-1.8242289327996541E-3</v>
      </c>
      <c r="G120" s="56">
        <v>22795.9</v>
      </c>
      <c r="H120" s="15">
        <f t="shared" si="3"/>
        <v>-5.8157157342695331E-3</v>
      </c>
    </row>
    <row r="121" spans="2:8" x14ac:dyDescent="0.35">
      <c r="B121" s="57">
        <v>45160</v>
      </c>
      <c r="C121" s="56">
        <v>9491.9</v>
      </c>
      <c r="D121" s="15">
        <f t="shared" si="2"/>
        <v>5.6257151332796962E-3</v>
      </c>
      <c r="G121" s="56">
        <v>22124.7</v>
      </c>
      <c r="H121" s="15">
        <f t="shared" si="3"/>
        <v>-2.9443891226053842E-2</v>
      </c>
    </row>
    <row r="122" spans="2:8" x14ac:dyDescent="0.35">
      <c r="B122" s="57">
        <v>45161</v>
      </c>
      <c r="C122" s="56">
        <v>9600.9500000000007</v>
      </c>
      <c r="D122" s="15">
        <f t="shared" si="2"/>
        <v>1.1488743033533977E-2</v>
      </c>
      <c r="G122" s="56">
        <v>22552.5</v>
      </c>
      <c r="H122" s="15">
        <f t="shared" si="3"/>
        <v>1.9335855401429125E-2</v>
      </c>
    </row>
    <row r="123" spans="2:8" x14ac:dyDescent="0.35">
      <c r="B123" s="57">
        <v>45162</v>
      </c>
      <c r="C123" s="56">
        <v>9573.7000000000007</v>
      </c>
      <c r="D123" s="15">
        <f t="shared" si="2"/>
        <v>-2.8382607971085827E-3</v>
      </c>
      <c r="G123" s="56">
        <v>22397.200000000001</v>
      </c>
      <c r="H123" s="15">
        <f t="shared" si="3"/>
        <v>-6.8861545283227521E-3</v>
      </c>
    </row>
    <row r="124" spans="2:8" x14ac:dyDescent="0.35">
      <c r="B124" s="57">
        <v>45163</v>
      </c>
      <c r="C124" s="56">
        <v>9505.7000000000007</v>
      </c>
      <c r="D124" s="15">
        <f t="shared" si="2"/>
        <v>-7.1027920239823406E-3</v>
      </c>
      <c r="G124" s="56">
        <v>23350.400000000001</v>
      </c>
      <c r="H124" s="15">
        <f t="shared" si="3"/>
        <v>4.2558891289982803E-2</v>
      </c>
    </row>
    <row r="125" spans="2:8" x14ac:dyDescent="0.35">
      <c r="B125" s="57">
        <v>45166</v>
      </c>
      <c r="C125" s="56">
        <v>9597.7000000000007</v>
      </c>
      <c r="D125" s="15">
        <f t="shared" si="2"/>
        <v>9.6784034842252176E-3</v>
      </c>
      <c r="G125" s="56">
        <v>23519.35</v>
      </c>
      <c r="H125" s="15">
        <f t="shared" si="3"/>
        <v>7.2354220912702605E-3</v>
      </c>
    </row>
    <row r="126" spans="2:8" x14ac:dyDescent="0.35">
      <c r="B126" s="57">
        <v>45167</v>
      </c>
      <c r="C126" s="56">
        <v>9621.25</v>
      </c>
      <c r="D126" s="15">
        <f t="shared" si="2"/>
        <v>2.4537128687081022E-3</v>
      </c>
      <c r="G126" s="56">
        <v>22904.45</v>
      </c>
      <c r="H126" s="15">
        <f>G126/G125-1</f>
        <v>-2.6144430011883713E-2</v>
      </c>
    </row>
    <row r="127" spans="2:8" x14ac:dyDescent="0.35">
      <c r="B127" s="57">
        <v>45168</v>
      </c>
      <c r="C127" s="56">
        <v>9796.4</v>
      </c>
      <c r="D127" s="15">
        <f t="shared" si="2"/>
        <v>1.8204495257892583E-2</v>
      </c>
      <c r="G127" s="56">
        <v>22904.45</v>
      </c>
      <c r="H127" s="15">
        <f t="shared" ref="H127:H190" si="4">G127/G126-1</f>
        <v>0</v>
      </c>
    </row>
    <row r="128" spans="2:8" x14ac:dyDescent="0.35">
      <c r="B128" s="57">
        <v>45169</v>
      </c>
      <c r="C128" s="56">
        <v>10003.799999999999</v>
      </c>
      <c r="D128" s="15">
        <f t="shared" si="2"/>
        <v>2.1171042423747455E-2</v>
      </c>
      <c r="G128" s="56">
        <v>22904.45</v>
      </c>
      <c r="H128" s="15">
        <f t="shared" si="4"/>
        <v>0</v>
      </c>
    </row>
    <row r="129" spans="2:8" x14ac:dyDescent="0.35">
      <c r="B129" s="57">
        <v>45174</v>
      </c>
      <c r="C129" s="56">
        <v>9111.5499999999993</v>
      </c>
      <c r="D129" s="15">
        <f t="shared" si="2"/>
        <v>-8.9191107379195889E-2</v>
      </c>
      <c r="G129" s="56">
        <v>22904.45</v>
      </c>
      <c r="H129" s="15">
        <f t="shared" si="4"/>
        <v>0</v>
      </c>
    </row>
    <row r="130" spans="2:8" x14ac:dyDescent="0.35">
      <c r="B130" s="57">
        <v>45175</v>
      </c>
      <c r="C130" s="56">
        <v>9627.7999999999993</v>
      </c>
      <c r="D130" s="15">
        <f t="shared" si="2"/>
        <v>5.6658856067299146E-2</v>
      </c>
      <c r="G130" s="56">
        <v>22904.45</v>
      </c>
      <c r="H130" s="15">
        <f t="shared" si="4"/>
        <v>0</v>
      </c>
    </row>
    <row r="131" spans="2:8" x14ac:dyDescent="0.35">
      <c r="B131" s="57">
        <v>45177</v>
      </c>
      <c r="C131" s="56">
        <v>9463.1</v>
      </c>
      <c r="D131" s="15">
        <f t="shared" si="2"/>
        <v>-1.7106711813706044E-2</v>
      </c>
      <c r="G131" s="56">
        <v>22904.45</v>
      </c>
      <c r="H131" s="15">
        <f t="shared" si="4"/>
        <v>0</v>
      </c>
    </row>
    <row r="132" spans="2:8" x14ac:dyDescent="0.35">
      <c r="B132" s="57">
        <v>45179</v>
      </c>
      <c r="C132" s="56">
        <v>10244.799999999999</v>
      </c>
      <c r="D132" s="15">
        <f t="shared" si="2"/>
        <v>8.260506599317341E-2</v>
      </c>
      <c r="G132" s="56">
        <v>22904.45</v>
      </c>
      <c r="H132" s="15">
        <f t="shared" si="4"/>
        <v>0</v>
      </c>
    </row>
    <row r="133" spans="2:8" x14ac:dyDescent="0.35">
      <c r="B133" s="57">
        <v>45180</v>
      </c>
      <c r="C133" s="56">
        <v>10400.35</v>
      </c>
      <c r="D133" s="15">
        <f t="shared" si="2"/>
        <v>1.5183312509761127E-2</v>
      </c>
      <c r="G133" s="56">
        <v>22904.45</v>
      </c>
      <c r="H133" s="15">
        <f t="shared" si="4"/>
        <v>0</v>
      </c>
    </row>
    <row r="134" spans="2:8" x14ac:dyDescent="0.35">
      <c r="B134" s="57">
        <v>45182</v>
      </c>
      <c r="C134" s="56">
        <v>10473.4</v>
      </c>
      <c r="D134" s="15">
        <f t="shared" si="2"/>
        <v>7.0238020835835524E-3</v>
      </c>
      <c r="G134" s="56">
        <v>22904.45</v>
      </c>
      <c r="H134" s="15">
        <f t="shared" si="4"/>
        <v>0</v>
      </c>
    </row>
    <row r="135" spans="2:8" x14ac:dyDescent="0.35">
      <c r="B135" s="57">
        <v>45183</v>
      </c>
      <c r="C135" s="56">
        <v>10488.15</v>
      </c>
      <c r="D135" s="15">
        <f t="shared" si="2"/>
        <v>1.4083296732674278E-3</v>
      </c>
      <c r="G135" s="56">
        <v>22904.45</v>
      </c>
      <c r="H135" s="15">
        <f t="shared" si="4"/>
        <v>0</v>
      </c>
    </row>
    <row r="136" spans="2:8" x14ac:dyDescent="0.35">
      <c r="B136" s="57">
        <v>45184</v>
      </c>
      <c r="C136" s="56">
        <v>10525.25</v>
      </c>
      <c r="D136" s="15">
        <f t="shared" si="2"/>
        <v>3.5373254577786284E-3</v>
      </c>
      <c r="G136" s="56">
        <v>22904.45</v>
      </c>
      <c r="H136" s="15">
        <f t="shared" si="4"/>
        <v>0</v>
      </c>
    </row>
    <row r="137" spans="2:8" x14ac:dyDescent="0.35">
      <c r="B137" s="57">
        <v>45187</v>
      </c>
      <c r="C137" s="56">
        <v>10522.1</v>
      </c>
      <c r="D137" s="15">
        <f t="shared" si="2"/>
        <v>-2.9928030213055568E-4</v>
      </c>
      <c r="G137" s="56">
        <v>22904.45</v>
      </c>
      <c r="H137" s="15">
        <f t="shared" si="4"/>
        <v>0</v>
      </c>
    </row>
    <row r="138" spans="2:8" x14ac:dyDescent="0.35">
      <c r="B138" s="57">
        <v>45189</v>
      </c>
      <c r="C138" s="56">
        <v>10346.75</v>
      </c>
      <c r="D138" s="15">
        <f t="shared" si="2"/>
        <v>-1.6664924302183026E-2</v>
      </c>
      <c r="G138" s="56">
        <v>22904.45</v>
      </c>
      <c r="H138" s="15">
        <f t="shared" si="4"/>
        <v>0</v>
      </c>
    </row>
    <row r="139" spans="2:8" x14ac:dyDescent="0.35">
      <c r="B139" s="57">
        <v>45190</v>
      </c>
      <c r="C139" s="56">
        <v>10284.299999999999</v>
      </c>
      <c r="D139" s="15">
        <f t="shared" ref="D139:D202" si="5">C139/C138-1</f>
        <v>-6.0357116969097513E-3</v>
      </c>
      <c r="G139" s="56">
        <v>22904.45</v>
      </c>
      <c r="H139" s="15">
        <f t="shared" si="4"/>
        <v>0</v>
      </c>
    </row>
    <row r="140" spans="2:8" x14ac:dyDescent="0.35">
      <c r="B140" s="57">
        <v>45191</v>
      </c>
      <c r="C140" s="56">
        <v>10535.15</v>
      </c>
      <c r="D140" s="15">
        <f t="shared" si="5"/>
        <v>2.4391548282333364E-2</v>
      </c>
      <c r="G140" s="56">
        <v>22904.45</v>
      </c>
      <c r="H140" s="15">
        <f t="shared" si="4"/>
        <v>0</v>
      </c>
    </row>
    <row r="141" spans="2:8" x14ac:dyDescent="0.35">
      <c r="B141" s="57">
        <v>45194</v>
      </c>
      <c r="C141" s="56">
        <v>10588.2</v>
      </c>
      <c r="D141" s="15">
        <f t="shared" si="5"/>
        <v>5.0355239365362792E-3</v>
      </c>
      <c r="G141" s="56">
        <v>22904.45</v>
      </c>
      <c r="H141" s="15">
        <f t="shared" si="4"/>
        <v>0</v>
      </c>
    </row>
    <row r="142" spans="2:8" x14ac:dyDescent="0.35">
      <c r="B142" s="57">
        <v>45195</v>
      </c>
      <c r="C142" s="56">
        <v>10556.65</v>
      </c>
      <c r="D142" s="15">
        <f t="shared" si="5"/>
        <v>-2.9797321546628508E-3</v>
      </c>
      <c r="G142" s="56">
        <v>22904.45</v>
      </c>
      <c r="H142" s="15">
        <f t="shared" si="4"/>
        <v>0</v>
      </c>
    </row>
    <row r="143" spans="2:8" x14ac:dyDescent="0.35">
      <c r="B143" s="57">
        <v>45196</v>
      </c>
      <c r="C143" s="56">
        <v>10680.75</v>
      </c>
      <c r="D143" s="15">
        <f t="shared" si="5"/>
        <v>1.1755623232749146E-2</v>
      </c>
      <c r="G143" s="56">
        <v>22904.45</v>
      </c>
      <c r="H143" s="15">
        <f t="shared" si="4"/>
        <v>0</v>
      </c>
    </row>
    <row r="144" spans="2:8" x14ac:dyDescent="0.35">
      <c r="B144" s="57">
        <v>45197</v>
      </c>
      <c r="C144" s="56">
        <v>10565.35</v>
      </c>
      <c r="D144" s="15">
        <f t="shared" si="5"/>
        <v>-1.0804484703789474E-2</v>
      </c>
      <c r="G144" s="56">
        <v>22904.45</v>
      </c>
      <c r="H144" s="15">
        <f t="shared" si="4"/>
        <v>0</v>
      </c>
    </row>
    <row r="145" spans="2:8" x14ac:dyDescent="0.35">
      <c r="B145" s="57">
        <v>45198</v>
      </c>
      <c r="C145" s="56">
        <v>10610.6</v>
      </c>
      <c r="D145" s="15">
        <f t="shared" si="5"/>
        <v>4.2828680545368147E-3</v>
      </c>
      <c r="G145" s="56">
        <v>22904.45</v>
      </c>
      <c r="H145" s="15">
        <f t="shared" si="4"/>
        <v>0</v>
      </c>
    </row>
    <row r="146" spans="2:8" x14ac:dyDescent="0.35">
      <c r="B146" s="57">
        <v>45203</v>
      </c>
      <c r="C146" s="56">
        <v>8535.15</v>
      </c>
      <c r="D146" s="15">
        <f t="shared" si="5"/>
        <v>-0.19560156824307773</v>
      </c>
      <c r="G146" s="56">
        <v>22904.45</v>
      </c>
      <c r="H146" s="15">
        <f t="shared" si="4"/>
        <v>0</v>
      </c>
    </row>
    <row r="147" spans="2:8" x14ac:dyDescent="0.35">
      <c r="B147" s="57">
        <v>45204</v>
      </c>
      <c r="C147" s="56">
        <v>9168.15</v>
      </c>
      <c r="D147" s="15">
        <f t="shared" si="5"/>
        <v>7.416389870125295E-2</v>
      </c>
      <c r="G147" s="56">
        <v>22904.45</v>
      </c>
      <c r="H147" s="15">
        <f t="shared" si="4"/>
        <v>0</v>
      </c>
    </row>
    <row r="148" spans="2:8" x14ac:dyDescent="0.35">
      <c r="B148" s="57">
        <v>45206</v>
      </c>
      <c r="C148" s="56">
        <v>9736.2999999999993</v>
      </c>
      <c r="D148" s="15">
        <f t="shared" si="5"/>
        <v>6.1969972131782347E-2</v>
      </c>
      <c r="G148" s="56">
        <v>22904.45</v>
      </c>
      <c r="H148" s="15">
        <f t="shared" si="4"/>
        <v>0</v>
      </c>
    </row>
    <row r="149" spans="2:8" x14ac:dyDescent="0.35">
      <c r="B149" s="57">
        <v>45207</v>
      </c>
      <c r="C149" s="56">
        <v>9397.6</v>
      </c>
      <c r="D149" s="15">
        <f t="shared" si="5"/>
        <v>-3.4787342214188E-2</v>
      </c>
      <c r="G149" s="56">
        <v>22904.45</v>
      </c>
      <c r="H149" s="15">
        <f t="shared" si="4"/>
        <v>0</v>
      </c>
    </row>
    <row r="150" spans="2:8" x14ac:dyDescent="0.35">
      <c r="B150" s="57">
        <v>45209</v>
      </c>
      <c r="C150" s="56">
        <v>10375</v>
      </c>
      <c r="D150" s="15">
        <f t="shared" si="5"/>
        <v>0.10400527794330472</v>
      </c>
      <c r="G150" s="56">
        <v>22904.45</v>
      </c>
      <c r="H150" s="15">
        <f t="shared" si="4"/>
        <v>0</v>
      </c>
    </row>
    <row r="151" spans="2:8" x14ac:dyDescent="0.35">
      <c r="B151" s="57">
        <v>45210</v>
      </c>
      <c r="C151" s="56">
        <v>10388.799999999999</v>
      </c>
      <c r="D151" s="15">
        <f t="shared" si="5"/>
        <v>1.3301204819275991E-3</v>
      </c>
      <c r="G151" s="56">
        <v>22904.45</v>
      </c>
      <c r="H151" s="15">
        <f t="shared" si="4"/>
        <v>0</v>
      </c>
    </row>
    <row r="152" spans="2:8" x14ac:dyDescent="0.35">
      <c r="B152" s="57">
        <v>45212</v>
      </c>
      <c r="C152" s="56">
        <v>10727.55</v>
      </c>
      <c r="D152" s="15">
        <f t="shared" si="5"/>
        <v>3.2607230864007297E-2</v>
      </c>
      <c r="G152" s="56">
        <v>22904.45</v>
      </c>
      <c r="H152" s="15">
        <f t="shared" si="4"/>
        <v>0</v>
      </c>
    </row>
    <row r="153" spans="2:8" x14ac:dyDescent="0.35">
      <c r="B153" s="57">
        <v>45215</v>
      </c>
      <c r="C153" s="56">
        <v>10704.5</v>
      </c>
      <c r="D153" s="15">
        <f t="shared" si="5"/>
        <v>-2.1486732758178029E-3</v>
      </c>
      <c r="G153" s="56">
        <v>22904.45</v>
      </c>
      <c r="H153" s="15">
        <f t="shared" si="4"/>
        <v>0</v>
      </c>
    </row>
    <row r="154" spans="2:8" x14ac:dyDescent="0.35">
      <c r="B154" s="57">
        <v>45216</v>
      </c>
      <c r="C154" s="56">
        <v>10750.8</v>
      </c>
      <c r="D154" s="15">
        <f t="shared" si="5"/>
        <v>4.3252837591667426E-3</v>
      </c>
      <c r="G154" s="56">
        <v>22904.45</v>
      </c>
      <c r="H154" s="15">
        <f t="shared" si="4"/>
        <v>0</v>
      </c>
    </row>
    <row r="155" spans="2:8" x14ac:dyDescent="0.35">
      <c r="B155" s="57">
        <v>45217</v>
      </c>
      <c r="C155" s="56">
        <v>10788.45</v>
      </c>
      <c r="D155" s="15">
        <f t="shared" si="5"/>
        <v>3.5020649626076317E-3</v>
      </c>
      <c r="G155" s="56">
        <v>22904.45</v>
      </c>
      <c r="H155" s="15">
        <f t="shared" si="4"/>
        <v>0</v>
      </c>
    </row>
    <row r="156" spans="2:8" x14ac:dyDescent="0.35">
      <c r="B156" s="57">
        <v>45218</v>
      </c>
      <c r="C156" s="56">
        <v>10771.7</v>
      </c>
      <c r="D156" s="15">
        <f t="shared" si="5"/>
        <v>-1.5525863307518373E-3</v>
      </c>
      <c r="G156" s="56">
        <v>22904.45</v>
      </c>
      <c r="H156" s="15">
        <f t="shared" si="4"/>
        <v>0</v>
      </c>
    </row>
    <row r="157" spans="2:8" x14ac:dyDescent="0.35">
      <c r="B157" s="57">
        <v>45219</v>
      </c>
      <c r="C157" s="56">
        <v>10725.65</v>
      </c>
      <c r="D157" s="15">
        <f t="shared" si="5"/>
        <v>-4.275091211229487E-3</v>
      </c>
      <c r="G157" s="56">
        <v>22904.45</v>
      </c>
      <c r="H157" s="15">
        <f t="shared" si="4"/>
        <v>0</v>
      </c>
    </row>
    <row r="158" spans="2:8" x14ac:dyDescent="0.35">
      <c r="B158" s="57">
        <v>45222</v>
      </c>
      <c r="C158" s="56">
        <v>10553.65</v>
      </c>
      <c r="D158" s="15">
        <f t="shared" si="5"/>
        <v>-1.6036324138863356E-2</v>
      </c>
      <c r="G158" s="56">
        <v>22904.45</v>
      </c>
      <c r="H158" s="15">
        <f t="shared" si="4"/>
        <v>0</v>
      </c>
    </row>
    <row r="159" spans="2:8" x14ac:dyDescent="0.35">
      <c r="B159" s="57">
        <v>45224</v>
      </c>
      <c r="C159" s="56">
        <v>10588.85</v>
      </c>
      <c r="D159" s="15">
        <f t="shared" si="5"/>
        <v>3.3353389585595306E-3</v>
      </c>
      <c r="G159" s="56">
        <v>22904.45</v>
      </c>
      <c r="H159" s="15">
        <f t="shared" si="4"/>
        <v>0</v>
      </c>
    </row>
    <row r="160" spans="2:8" x14ac:dyDescent="0.35">
      <c r="B160" s="57">
        <v>45225</v>
      </c>
      <c r="C160" s="56">
        <v>10424.15</v>
      </c>
      <c r="D160" s="15">
        <f t="shared" si="5"/>
        <v>-1.5554096998257716E-2</v>
      </c>
      <c r="G160" s="56">
        <v>22904.45</v>
      </c>
      <c r="H160" s="15">
        <f t="shared" si="4"/>
        <v>0</v>
      </c>
    </row>
    <row r="161" spans="2:8" x14ac:dyDescent="0.35">
      <c r="B161" s="57">
        <v>45226</v>
      </c>
      <c r="C161" s="56">
        <v>10560.7</v>
      </c>
      <c r="D161" s="15">
        <f t="shared" si="5"/>
        <v>1.309938939865618E-2</v>
      </c>
      <c r="G161" s="56">
        <v>22904.45</v>
      </c>
      <c r="H161" s="15">
        <f t="shared" si="4"/>
        <v>0</v>
      </c>
    </row>
    <row r="162" spans="2:8" x14ac:dyDescent="0.35">
      <c r="B162" s="57">
        <v>45229</v>
      </c>
      <c r="C162" s="56">
        <v>10397.700000000001</v>
      </c>
      <c r="D162" s="15">
        <f t="shared" si="5"/>
        <v>-1.5434582934843344E-2</v>
      </c>
      <c r="G162" s="56">
        <v>22904.45</v>
      </c>
      <c r="H162" s="15">
        <f t="shared" si="4"/>
        <v>0</v>
      </c>
    </row>
    <row r="163" spans="2:8" x14ac:dyDescent="0.35">
      <c r="B163" s="57">
        <v>45230</v>
      </c>
      <c r="C163" s="56">
        <v>10392.299999999999</v>
      </c>
      <c r="D163" s="15">
        <f t="shared" si="5"/>
        <v>-5.1934562451327881E-4</v>
      </c>
      <c r="G163" s="56">
        <v>22904.45</v>
      </c>
      <c r="H163" s="15">
        <f t="shared" si="4"/>
        <v>0</v>
      </c>
    </row>
    <row r="164" spans="2:8" x14ac:dyDescent="0.35">
      <c r="B164" s="57">
        <v>45234</v>
      </c>
      <c r="C164" s="56">
        <v>8659.5499999999993</v>
      </c>
      <c r="D164" s="15">
        <f t="shared" si="5"/>
        <v>-0.16673402422947758</v>
      </c>
      <c r="G164" s="56">
        <v>22904.45</v>
      </c>
      <c r="H164" s="15">
        <f t="shared" si="4"/>
        <v>0</v>
      </c>
    </row>
    <row r="165" spans="2:8" x14ac:dyDescent="0.35">
      <c r="B165" s="57">
        <v>45235</v>
      </c>
      <c r="C165" s="56">
        <v>9260.9</v>
      </c>
      <c r="D165" s="15">
        <f t="shared" si="5"/>
        <v>6.944356230981974E-2</v>
      </c>
      <c r="G165" s="56">
        <v>22904.45</v>
      </c>
      <c r="H165" s="15">
        <f t="shared" si="4"/>
        <v>0</v>
      </c>
    </row>
    <row r="166" spans="2:8" x14ac:dyDescent="0.35">
      <c r="B166" s="57">
        <v>45237</v>
      </c>
      <c r="C166" s="56">
        <v>9900.15</v>
      </c>
      <c r="D166" s="15">
        <f t="shared" si="5"/>
        <v>6.9026768456629473E-2</v>
      </c>
      <c r="G166" s="56">
        <v>22904.45</v>
      </c>
      <c r="H166" s="15">
        <f t="shared" si="4"/>
        <v>0</v>
      </c>
    </row>
    <row r="167" spans="2:8" x14ac:dyDescent="0.35">
      <c r="B167" s="57">
        <v>45238</v>
      </c>
      <c r="C167" s="56">
        <v>9356.85</v>
      </c>
      <c r="D167" s="15">
        <f t="shared" si="5"/>
        <v>-5.4877956394600025E-2</v>
      </c>
      <c r="G167" s="56">
        <v>22904.45</v>
      </c>
      <c r="H167" s="15">
        <f t="shared" si="4"/>
        <v>0</v>
      </c>
    </row>
    <row r="168" spans="2:8" x14ac:dyDescent="0.35">
      <c r="B168" s="57">
        <v>45239</v>
      </c>
      <c r="C168" s="56">
        <v>10533.85</v>
      </c>
      <c r="D168" s="15">
        <f t="shared" si="5"/>
        <v>0.12579019648706558</v>
      </c>
      <c r="G168" s="56">
        <v>22904.45</v>
      </c>
      <c r="H168" s="15">
        <f t="shared" si="4"/>
        <v>0</v>
      </c>
    </row>
    <row r="169" spans="2:8" x14ac:dyDescent="0.35">
      <c r="B169" s="57">
        <v>45240</v>
      </c>
      <c r="C169" s="56">
        <v>10412.1</v>
      </c>
      <c r="D169" s="15">
        <f t="shared" si="5"/>
        <v>-1.155797737769193E-2</v>
      </c>
      <c r="G169" s="56">
        <v>22904.45</v>
      </c>
      <c r="H169" s="15">
        <f t="shared" si="4"/>
        <v>0</v>
      </c>
    </row>
    <row r="170" spans="2:8" x14ac:dyDescent="0.35">
      <c r="B170" s="57">
        <v>45242</v>
      </c>
      <c r="C170" s="56">
        <v>10541.75</v>
      </c>
      <c r="D170" s="15">
        <f t="shared" si="5"/>
        <v>1.2451858894939605E-2</v>
      </c>
      <c r="G170" s="56">
        <v>22904.45</v>
      </c>
      <c r="H170" s="15">
        <f t="shared" si="4"/>
        <v>0</v>
      </c>
    </row>
    <row r="171" spans="2:8" x14ac:dyDescent="0.35">
      <c r="B171" s="57">
        <v>45243</v>
      </c>
      <c r="C171" s="56">
        <v>10398.4</v>
      </c>
      <c r="D171" s="15">
        <f t="shared" si="5"/>
        <v>-1.3598311475798597E-2</v>
      </c>
      <c r="G171" s="56">
        <v>22904.45</v>
      </c>
      <c r="H171" s="15">
        <f t="shared" si="4"/>
        <v>0</v>
      </c>
    </row>
    <row r="172" spans="2:8" x14ac:dyDescent="0.35">
      <c r="B172" s="57">
        <v>45245</v>
      </c>
      <c r="C172" s="56">
        <v>10456.049999999999</v>
      </c>
      <c r="D172" s="15">
        <f t="shared" si="5"/>
        <v>5.5441221726419965E-3</v>
      </c>
      <c r="G172" s="56">
        <v>22904.45</v>
      </c>
      <c r="H172" s="15">
        <f t="shared" si="4"/>
        <v>0</v>
      </c>
    </row>
    <row r="173" spans="2:8" x14ac:dyDescent="0.35">
      <c r="B173" s="57">
        <v>45246</v>
      </c>
      <c r="C173" s="56">
        <v>10484.5</v>
      </c>
      <c r="D173" s="15">
        <f t="shared" si="5"/>
        <v>2.7209127729879157E-3</v>
      </c>
      <c r="G173" s="56">
        <v>22904.45</v>
      </c>
      <c r="H173" s="15">
        <f t="shared" si="4"/>
        <v>0</v>
      </c>
    </row>
    <row r="174" spans="2:8" x14ac:dyDescent="0.35">
      <c r="B174" s="57">
        <v>45247</v>
      </c>
      <c r="C174" s="56">
        <v>10523.5</v>
      </c>
      <c r="D174" s="15">
        <f t="shared" si="5"/>
        <v>3.7197768133911957E-3</v>
      </c>
      <c r="G174" s="56">
        <v>22904.45</v>
      </c>
      <c r="H174" s="15">
        <f t="shared" si="4"/>
        <v>0</v>
      </c>
    </row>
    <row r="175" spans="2:8" x14ac:dyDescent="0.35">
      <c r="B175" s="57">
        <v>45250</v>
      </c>
      <c r="C175" s="56">
        <v>10566.25</v>
      </c>
      <c r="D175" s="15">
        <f t="shared" si="5"/>
        <v>4.0623366750605072E-3</v>
      </c>
      <c r="G175" s="56">
        <v>22904.45</v>
      </c>
      <c r="H175" s="15">
        <f t="shared" si="4"/>
        <v>0</v>
      </c>
    </row>
    <row r="176" spans="2:8" x14ac:dyDescent="0.35">
      <c r="B176" s="57">
        <v>45251</v>
      </c>
      <c r="C176" s="56">
        <v>10535.15</v>
      </c>
      <c r="D176" s="15">
        <f t="shared" si="5"/>
        <v>-2.9433337276706384E-3</v>
      </c>
      <c r="G176" s="56">
        <v>22904.45</v>
      </c>
      <c r="H176" s="15">
        <f t="shared" si="4"/>
        <v>0</v>
      </c>
    </row>
    <row r="177" spans="2:8" x14ac:dyDescent="0.35">
      <c r="B177" s="57">
        <v>45252</v>
      </c>
      <c r="C177" s="56">
        <v>10494.55</v>
      </c>
      <c r="D177" s="15">
        <f t="shared" si="5"/>
        <v>-3.8537657271136005E-3</v>
      </c>
      <c r="G177" s="56">
        <v>22904.45</v>
      </c>
      <c r="H177" s="15">
        <f t="shared" si="4"/>
        <v>0</v>
      </c>
    </row>
    <row r="178" spans="2:8" x14ac:dyDescent="0.35">
      <c r="B178" s="57">
        <v>45253</v>
      </c>
      <c r="C178" s="56">
        <v>10488.5</v>
      </c>
      <c r="D178" s="15">
        <f t="shared" si="5"/>
        <v>-5.7648970179757786E-4</v>
      </c>
      <c r="G178" s="56">
        <v>22904.45</v>
      </c>
      <c r="H178" s="15">
        <f t="shared" si="4"/>
        <v>0</v>
      </c>
    </row>
    <row r="179" spans="2:8" x14ac:dyDescent="0.35">
      <c r="B179" s="57">
        <v>45254</v>
      </c>
      <c r="C179" s="56">
        <v>10515.65</v>
      </c>
      <c r="D179" s="15">
        <f t="shared" si="5"/>
        <v>2.5885493635886547E-3</v>
      </c>
      <c r="G179" s="56">
        <v>22904.45</v>
      </c>
      <c r="H179" s="15">
        <f t="shared" si="4"/>
        <v>0</v>
      </c>
    </row>
    <row r="180" spans="2:8" x14ac:dyDescent="0.35">
      <c r="B180" s="57">
        <v>45258</v>
      </c>
      <c r="C180" s="56">
        <v>10537.55</v>
      </c>
      <c r="D180" s="15">
        <f t="shared" si="5"/>
        <v>2.0826102047899475E-3</v>
      </c>
      <c r="G180" s="56">
        <v>22904.45</v>
      </c>
      <c r="H180" s="15">
        <f t="shared" si="4"/>
        <v>0</v>
      </c>
    </row>
    <row r="181" spans="2:8" x14ac:dyDescent="0.35">
      <c r="B181" s="57">
        <v>45259</v>
      </c>
      <c r="C181" s="56">
        <v>10599.25</v>
      </c>
      <c r="D181" s="15">
        <f t="shared" si="5"/>
        <v>5.8552509833880162E-3</v>
      </c>
      <c r="G181" s="56">
        <v>22904.45</v>
      </c>
      <c r="H181" s="15">
        <f t="shared" si="4"/>
        <v>0</v>
      </c>
    </row>
    <row r="182" spans="2:8" x14ac:dyDescent="0.35">
      <c r="B182" s="57">
        <v>45260</v>
      </c>
      <c r="C182" s="56">
        <v>10608.7</v>
      </c>
      <c r="D182" s="15">
        <f t="shared" si="5"/>
        <v>8.9157251692340012E-4</v>
      </c>
      <c r="G182" s="56">
        <v>22904.45</v>
      </c>
      <c r="H182" s="15">
        <f t="shared" si="4"/>
        <v>0</v>
      </c>
    </row>
    <row r="183" spans="2:8" x14ac:dyDescent="0.35">
      <c r="B183" s="57">
        <v>45264</v>
      </c>
      <c r="C183" s="56">
        <v>8621.0499999999993</v>
      </c>
      <c r="D183" s="15">
        <f t="shared" si="5"/>
        <v>-0.18736037403263373</v>
      </c>
      <c r="G183" s="56">
        <v>22904.45</v>
      </c>
      <c r="H183" s="15">
        <f t="shared" si="4"/>
        <v>0</v>
      </c>
    </row>
    <row r="184" spans="2:8" x14ac:dyDescent="0.35">
      <c r="B184" s="57">
        <v>45265</v>
      </c>
      <c r="C184" s="56">
        <v>9295.4</v>
      </c>
      <c r="D184" s="15">
        <f t="shared" si="5"/>
        <v>7.8221330348391405E-2</v>
      </c>
      <c r="G184" s="56">
        <v>22904.45</v>
      </c>
      <c r="H184" s="15">
        <f t="shared" si="4"/>
        <v>0</v>
      </c>
    </row>
    <row r="185" spans="2:8" x14ac:dyDescent="0.35">
      <c r="B185" s="57">
        <v>45266</v>
      </c>
      <c r="C185" s="56">
        <v>9550.4500000000007</v>
      </c>
      <c r="D185" s="15">
        <f t="shared" si="5"/>
        <v>2.743830281644688E-2</v>
      </c>
      <c r="G185" s="56">
        <v>22904.45</v>
      </c>
      <c r="H185" s="15">
        <f t="shared" si="4"/>
        <v>0</v>
      </c>
    </row>
    <row r="186" spans="2:8" x14ac:dyDescent="0.35">
      <c r="B186" s="57">
        <v>45267</v>
      </c>
      <c r="C186" s="56">
        <v>9835.7999999999993</v>
      </c>
      <c r="D186" s="15">
        <f t="shared" si="5"/>
        <v>2.987817327979303E-2</v>
      </c>
      <c r="G186" s="56">
        <v>22904.45</v>
      </c>
      <c r="H186" s="15">
        <f t="shared" si="4"/>
        <v>0</v>
      </c>
    </row>
    <row r="187" spans="2:8" x14ac:dyDescent="0.35">
      <c r="B187" s="57">
        <v>45269</v>
      </c>
      <c r="C187" s="56">
        <v>10503.6</v>
      </c>
      <c r="D187" s="15">
        <f t="shared" si="5"/>
        <v>6.7894833160495383E-2</v>
      </c>
      <c r="G187" s="56">
        <v>22904.45</v>
      </c>
      <c r="H187" s="15">
        <f t="shared" si="4"/>
        <v>0</v>
      </c>
    </row>
    <row r="188" spans="2:8" x14ac:dyDescent="0.35">
      <c r="B188" s="57">
        <v>45270</v>
      </c>
      <c r="C188" s="56">
        <v>10580.9</v>
      </c>
      <c r="D188" s="15">
        <f t="shared" si="5"/>
        <v>7.3593815453747435E-3</v>
      </c>
      <c r="G188" s="56">
        <v>22904.45</v>
      </c>
      <c r="H188" s="15">
        <f t="shared" si="4"/>
        <v>0</v>
      </c>
    </row>
    <row r="189" spans="2:8" x14ac:dyDescent="0.35">
      <c r="B189" s="57">
        <v>45271</v>
      </c>
      <c r="C189" s="56">
        <v>10431.4</v>
      </c>
      <c r="D189" s="15">
        <f t="shared" si="5"/>
        <v>-1.412923286298895E-2</v>
      </c>
      <c r="G189" s="56">
        <v>22904.45</v>
      </c>
      <c r="H189" s="15">
        <f t="shared" si="4"/>
        <v>0</v>
      </c>
    </row>
    <row r="190" spans="2:8" x14ac:dyDescent="0.35">
      <c r="B190" s="57">
        <v>45272</v>
      </c>
      <c r="C190" s="56">
        <v>10338.4</v>
      </c>
      <c r="D190" s="15">
        <f t="shared" si="5"/>
        <v>-8.9153900722818147E-3</v>
      </c>
      <c r="G190" s="56">
        <v>22904.45</v>
      </c>
      <c r="H190" s="15">
        <f t="shared" si="4"/>
        <v>0</v>
      </c>
    </row>
    <row r="191" spans="2:8" x14ac:dyDescent="0.35">
      <c r="B191" s="57">
        <v>45273</v>
      </c>
      <c r="C191" s="56">
        <v>10380.049999999999</v>
      </c>
      <c r="D191" s="15">
        <f t="shared" si="5"/>
        <v>4.028669813510799E-3</v>
      </c>
      <c r="G191" s="56">
        <v>22904.45</v>
      </c>
      <c r="H191" s="15">
        <f t="shared" ref="H191:H254" si="6">G191/G190-1</f>
        <v>0</v>
      </c>
    </row>
    <row r="192" spans="2:8" x14ac:dyDescent="0.35">
      <c r="B192" s="57">
        <v>45274</v>
      </c>
      <c r="C192" s="56">
        <v>10353.200000000001</v>
      </c>
      <c r="D192" s="15">
        <f t="shared" si="5"/>
        <v>-2.5866927423277009E-3</v>
      </c>
      <c r="G192" s="56">
        <v>22904.45</v>
      </c>
      <c r="H192" s="15">
        <f t="shared" si="6"/>
        <v>0</v>
      </c>
    </row>
    <row r="193" spans="2:8" x14ac:dyDescent="0.35">
      <c r="B193" s="57">
        <v>45275</v>
      </c>
      <c r="C193" s="56">
        <v>10286.4</v>
      </c>
      <c r="D193" s="15">
        <f t="shared" si="5"/>
        <v>-6.4521114244872058E-3</v>
      </c>
      <c r="G193" s="56">
        <v>22904.45</v>
      </c>
      <c r="H193" s="15">
        <f t="shared" si="6"/>
        <v>0</v>
      </c>
    </row>
    <row r="194" spans="2:8" x14ac:dyDescent="0.35">
      <c r="B194" s="57">
        <v>45278</v>
      </c>
      <c r="C194" s="56">
        <v>10319.6</v>
      </c>
      <c r="D194" s="15">
        <f t="shared" si="5"/>
        <v>3.2275626069373509E-3</v>
      </c>
      <c r="G194" s="56">
        <v>22904.45</v>
      </c>
      <c r="H194" s="15">
        <f t="shared" si="6"/>
        <v>0</v>
      </c>
    </row>
    <row r="195" spans="2:8" x14ac:dyDescent="0.35">
      <c r="B195" s="57">
        <v>45279</v>
      </c>
      <c r="C195" s="56">
        <v>10233.6</v>
      </c>
      <c r="D195" s="15">
        <f t="shared" si="5"/>
        <v>-8.3336563432691024E-3</v>
      </c>
      <c r="G195" s="56">
        <v>22904.45</v>
      </c>
      <c r="H195" s="15">
        <f t="shared" si="6"/>
        <v>0</v>
      </c>
    </row>
    <row r="196" spans="2:8" x14ac:dyDescent="0.35">
      <c r="B196" s="57">
        <v>45280</v>
      </c>
      <c r="C196" s="56">
        <v>10081.25</v>
      </c>
      <c r="D196" s="15">
        <f t="shared" si="5"/>
        <v>-1.4887234208880606E-2</v>
      </c>
      <c r="G196" s="56">
        <v>22904.45</v>
      </c>
      <c r="H196" s="15">
        <f t="shared" si="6"/>
        <v>0</v>
      </c>
    </row>
    <row r="197" spans="2:8" x14ac:dyDescent="0.35">
      <c r="B197" s="57">
        <v>45281</v>
      </c>
      <c r="C197" s="56">
        <v>10012.85</v>
      </c>
      <c r="D197" s="15">
        <f t="shared" si="5"/>
        <v>-6.7848729076255276E-3</v>
      </c>
      <c r="G197" s="56">
        <v>22904.45</v>
      </c>
      <c r="H197" s="15">
        <f t="shared" si="6"/>
        <v>0</v>
      </c>
    </row>
    <row r="198" spans="2:8" x14ac:dyDescent="0.35">
      <c r="B198" s="57">
        <v>45282</v>
      </c>
      <c r="C198" s="56">
        <v>10217.15</v>
      </c>
      <c r="D198" s="15">
        <f t="shared" si="5"/>
        <v>2.0403781141233424E-2</v>
      </c>
      <c r="G198" s="56">
        <v>22904.45</v>
      </c>
      <c r="H198" s="15">
        <f t="shared" si="6"/>
        <v>0</v>
      </c>
    </row>
    <row r="199" spans="2:8" x14ac:dyDescent="0.35">
      <c r="B199" s="57">
        <v>45286</v>
      </c>
      <c r="C199" s="56">
        <v>10270.65</v>
      </c>
      <c r="D199" s="15">
        <f t="shared" si="5"/>
        <v>5.2362938784298318E-3</v>
      </c>
      <c r="G199" s="56">
        <v>22904.45</v>
      </c>
      <c r="H199" s="15">
        <f t="shared" si="6"/>
        <v>0</v>
      </c>
    </row>
    <row r="200" spans="2:8" x14ac:dyDescent="0.35">
      <c r="B200" s="57">
        <v>45287</v>
      </c>
      <c r="C200" s="56">
        <v>10288.5</v>
      </c>
      <c r="D200" s="15">
        <f t="shared" si="5"/>
        <v>1.7379620569293319E-3</v>
      </c>
      <c r="G200" s="56">
        <v>22904.45</v>
      </c>
      <c r="H200" s="15">
        <f t="shared" si="6"/>
        <v>0</v>
      </c>
    </row>
    <row r="201" spans="2:8" x14ac:dyDescent="0.35">
      <c r="B201" s="57">
        <v>45288</v>
      </c>
      <c r="C201" s="56">
        <v>10271.6</v>
      </c>
      <c r="D201" s="15">
        <f t="shared" si="5"/>
        <v>-1.6426106818291375E-3</v>
      </c>
      <c r="G201" s="56">
        <v>22904.45</v>
      </c>
      <c r="H201" s="15">
        <f t="shared" si="6"/>
        <v>0</v>
      </c>
    </row>
    <row r="202" spans="2:8" x14ac:dyDescent="0.35">
      <c r="B202" s="57">
        <v>45289</v>
      </c>
      <c r="C202" s="56">
        <v>10302.35</v>
      </c>
      <c r="D202" s="15">
        <f t="shared" si="5"/>
        <v>2.9936913431207746E-3</v>
      </c>
      <c r="G202" s="56">
        <v>22904.45</v>
      </c>
      <c r="H202" s="15">
        <f t="shared" si="6"/>
        <v>0</v>
      </c>
    </row>
    <row r="203" spans="2:8" x14ac:dyDescent="0.35">
      <c r="B203" s="57">
        <v>45292</v>
      </c>
      <c r="C203" s="56">
        <v>10283.299999999999</v>
      </c>
      <c r="D203" s="15">
        <f t="shared" ref="D203:D266" si="7">C203/C202-1</f>
        <v>-1.8490926827375853E-3</v>
      </c>
      <c r="G203" s="56">
        <v>22904.45</v>
      </c>
      <c r="H203" s="15">
        <f t="shared" si="6"/>
        <v>0</v>
      </c>
    </row>
    <row r="204" spans="2:8" x14ac:dyDescent="0.35">
      <c r="B204" s="57">
        <v>45293</v>
      </c>
      <c r="C204" s="56">
        <v>10637.95</v>
      </c>
      <c r="D204" s="15">
        <f t="shared" si="7"/>
        <v>3.4487956200830672E-2</v>
      </c>
      <c r="G204" s="56">
        <v>22904.45</v>
      </c>
      <c r="H204" s="15">
        <f t="shared" si="6"/>
        <v>0</v>
      </c>
    </row>
    <row r="205" spans="2:8" x14ac:dyDescent="0.35">
      <c r="B205" s="57">
        <v>45294</v>
      </c>
      <c r="C205" s="56">
        <v>11620.95</v>
      </c>
      <c r="D205" s="15">
        <f t="shared" si="7"/>
        <v>9.240502164420783E-2</v>
      </c>
      <c r="G205" s="56">
        <v>22904.45</v>
      </c>
      <c r="H205" s="15">
        <f t="shared" si="6"/>
        <v>0</v>
      </c>
    </row>
    <row r="206" spans="2:8" x14ac:dyDescent="0.35">
      <c r="B206" s="57">
        <v>45295</v>
      </c>
      <c r="C206" s="56">
        <v>12569.6</v>
      </c>
      <c r="D206" s="15">
        <f t="shared" si="7"/>
        <v>8.1632740868861742E-2</v>
      </c>
      <c r="G206" s="56">
        <v>22904.45</v>
      </c>
      <c r="H206" s="15">
        <f t="shared" si="6"/>
        <v>0</v>
      </c>
    </row>
    <row r="207" spans="2:8" x14ac:dyDescent="0.35">
      <c r="B207" s="57">
        <v>45298</v>
      </c>
      <c r="C207" s="56">
        <v>12108.65</v>
      </c>
      <c r="D207" s="15">
        <f t="shared" si="7"/>
        <v>-3.6671811354378914E-2</v>
      </c>
      <c r="G207" s="56">
        <v>22904.45</v>
      </c>
      <c r="H207" s="15">
        <f t="shared" si="6"/>
        <v>0</v>
      </c>
    </row>
    <row r="208" spans="2:8" x14ac:dyDescent="0.35">
      <c r="B208" s="57">
        <v>45299</v>
      </c>
      <c r="C208" s="56">
        <v>13359.05</v>
      </c>
      <c r="D208" s="15">
        <f t="shared" si="7"/>
        <v>0.10326502128643567</v>
      </c>
      <c r="G208" s="56">
        <v>22904.45</v>
      </c>
      <c r="H208" s="15">
        <f t="shared" si="6"/>
        <v>0</v>
      </c>
    </row>
    <row r="209" spans="2:8" x14ac:dyDescent="0.35">
      <c r="B209" s="57">
        <v>45301</v>
      </c>
      <c r="C209" s="56">
        <v>13166</v>
      </c>
      <c r="D209" s="15">
        <f t="shared" si="7"/>
        <v>-1.4450877869309542E-2</v>
      </c>
      <c r="G209" s="56">
        <v>22904.45</v>
      </c>
      <c r="H209" s="15">
        <f t="shared" si="6"/>
        <v>0</v>
      </c>
    </row>
    <row r="210" spans="2:8" x14ac:dyDescent="0.35">
      <c r="B210" s="57">
        <v>45302</v>
      </c>
      <c r="C210" s="56">
        <v>11110</v>
      </c>
      <c r="D210" s="15">
        <f t="shared" si="7"/>
        <v>-0.15615980555977516</v>
      </c>
      <c r="G210" s="56">
        <v>22904.45</v>
      </c>
      <c r="H210" s="15">
        <f t="shared" si="6"/>
        <v>0</v>
      </c>
    </row>
    <row r="211" spans="2:8" x14ac:dyDescent="0.35">
      <c r="B211" s="57">
        <v>45306</v>
      </c>
      <c r="C211" s="56">
        <v>10086.9</v>
      </c>
      <c r="D211" s="15">
        <f t="shared" si="7"/>
        <v>-9.2088208820882089E-2</v>
      </c>
      <c r="G211" s="56">
        <v>22904.45</v>
      </c>
      <c r="H211" s="15">
        <f t="shared" si="6"/>
        <v>0</v>
      </c>
    </row>
    <row r="212" spans="2:8" x14ac:dyDescent="0.35">
      <c r="B212" s="57">
        <v>45307</v>
      </c>
      <c r="C212" s="56">
        <v>10183.549999999999</v>
      </c>
      <c r="D212" s="15">
        <f t="shared" si="7"/>
        <v>9.5817347252376006E-3</v>
      </c>
      <c r="G212" s="56">
        <v>22904.45</v>
      </c>
      <c r="H212" s="15">
        <f t="shared" si="6"/>
        <v>0</v>
      </c>
    </row>
    <row r="213" spans="2:8" x14ac:dyDescent="0.35">
      <c r="B213" s="57">
        <v>45308</v>
      </c>
      <c r="C213" s="56">
        <v>10051.700000000001</v>
      </c>
      <c r="D213" s="15">
        <f t="shared" si="7"/>
        <v>-1.2947351365682702E-2</v>
      </c>
      <c r="G213" s="56">
        <v>22904.45</v>
      </c>
      <c r="H213" s="15">
        <f t="shared" si="6"/>
        <v>0</v>
      </c>
    </row>
    <row r="214" spans="2:8" x14ac:dyDescent="0.35">
      <c r="B214" s="57">
        <v>45309</v>
      </c>
      <c r="C214" s="56">
        <v>9924.5</v>
      </c>
      <c r="D214" s="15">
        <f t="shared" si="7"/>
        <v>-1.2654575842892313E-2</v>
      </c>
      <c r="G214" s="56">
        <v>22904.45</v>
      </c>
      <c r="H214" s="15">
        <f t="shared" si="6"/>
        <v>0</v>
      </c>
    </row>
    <row r="215" spans="2:8" x14ac:dyDescent="0.35">
      <c r="B215" s="57">
        <v>45310</v>
      </c>
      <c r="C215" s="56">
        <v>10037.700000000001</v>
      </c>
      <c r="D215" s="15">
        <f t="shared" si="7"/>
        <v>1.1406116177137493E-2</v>
      </c>
      <c r="G215" s="56">
        <v>22904.45</v>
      </c>
      <c r="H215" s="15">
        <f t="shared" si="6"/>
        <v>0</v>
      </c>
    </row>
    <row r="216" spans="2:8" x14ac:dyDescent="0.35">
      <c r="B216" s="57">
        <v>45311</v>
      </c>
      <c r="C216" s="56">
        <v>9972.5499999999993</v>
      </c>
      <c r="D216" s="15">
        <f t="shared" si="7"/>
        <v>-6.4905306992639744E-3</v>
      </c>
      <c r="G216" s="56">
        <v>22904.45</v>
      </c>
      <c r="H216" s="15">
        <f t="shared" si="6"/>
        <v>0</v>
      </c>
    </row>
    <row r="217" spans="2:8" x14ac:dyDescent="0.35">
      <c r="B217" s="57">
        <v>45314</v>
      </c>
      <c r="C217" s="56">
        <v>9860.4500000000007</v>
      </c>
      <c r="D217" s="15">
        <f t="shared" si="7"/>
        <v>-1.1240856150131928E-2</v>
      </c>
      <c r="G217" s="56">
        <v>22904.45</v>
      </c>
      <c r="H217" s="15">
        <f t="shared" si="6"/>
        <v>0</v>
      </c>
    </row>
    <row r="218" spans="2:8" x14ac:dyDescent="0.35">
      <c r="B218" s="57">
        <v>45315</v>
      </c>
      <c r="C218" s="56">
        <v>9988.2000000000007</v>
      </c>
      <c r="D218" s="15">
        <f t="shared" si="7"/>
        <v>1.2955798163369892E-2</v>
      </c>
      <c r="G218" s="56">
        <v>22904.45</v>
      </c>
      <c r="H218" s="15">
        <f t="shared" si="6"/>
        <v>0</v>
      </c>
    </row>
    <row r="219" spans="2:8" x14ac:dyDescent="0.35">
      <c r="B219" s="57">
        <v>45316</v>
      </c>
      <c r="C219" s="56">
        <v>9881</v>
      </c>
      <c r="D219" s="15">
        <f t="shared" si="7"/>
        <v>-1.0732664544162218E-2</v>
      </c>
      <c r="G219" s="56">
        <v>22904.45</v>
      </c>
      <c r="H219" s="15">
        <f t="shared" si="6"/>
        <v>0</v>
      </c>
    </row>
    <row r="220" spans="2:8" x14ac:dyDescent="0.35">
      <c r="B220" s="57">
        <v>45320</v>
      </c>
      <c r="C220" s="56">
        <v>9991.4</v>
      </c>
      <c r="D220" s="15">
        <f t="shared" si="7"/>
        <v>1.1172958202610994E-2</v>
      </c>
      <c r="G220" s="56">
        <v>22904.45</v>
      </c>
      <c r="H220" s="15">
        <f t="shared" si="6"/>
        <v>0</v>
      </c>
    </row>
    <row r="221" spans="2:8" x14ac:dyDescent="0.35">
      <c r="B221" s="57">
        <v>45321</v>
      </c>
      <c r="C221" s="56">
        <v>9951.65</v>
      </c>
      <c r="D221" s="15">
        <f t="shared" si="7"/>
        <v>-3.9784214424405384E-3</v>
      </c>
      <c r="G221" s="56">
        <v>22904.45</v>
      </c>
      <c r="H221" s="15">
        <f t="shared" si="6"/>
        <v>0</v>
      </c>
    </row>
    <row r="222" spans="2:8" x14ac:dyDescent="0.35">
      <c r="B222" s="57">
        <v>45322</v>
      </c>
      <c r="C222" s="56">
        <v>10186.9</v>
      </c>
      <c r="D222" s="15">
        <f t="shared" si="7"/>
        <v>2.3639295996141341E-2</v>
      </c>
      <c r="G222" s="56">
        <v>22904.45</v>
      </c>
      <c r="H222" s="15">
        <f t="shared" si="6"/>
        <v>0</v>
      </c>
    </row>
    <row r="223" spans="2:8" x14ac:dyDescent="0.35">
      <c r="B223" s="57">
        <v>45323</v>
      </c>
      <c r="C223" s="56">
        <v>10197.75</v>
      </c>
      <c r="D223" s="15">
        <f t="shared" si="7"/>
        <v>1.0650934042741866E-3</v>
      </c>
      <c r="G223" s="56">
        <v>22904.45</v>
      </c>
      <c r="H223" s="15">
        <f t="shared" si="6"/>
        <v>0</v>
      </c>
    </row>
    <row r="224" spans="2:8" x14ac:dyDescent="0.35">
      <c r="B224" s="57">
        <v>45324</v>
      </c>
      <c r="C224" s="56">
        <v>10655.45</v>
      </c>
      <c r="D224" s="15">
        <f t="shared" si="7"/>
        <v>4.488244955995202E-2</v>
      </c>
      <c r="G224" s="56">
        <v>22904.45</v>
      </c>
      <c r="H224" s="15">
        <f t="shared" si="6"/>
        <v>0</v>
      </c>
    </row>
    <row r="225" spans="2:8" x14ac:dyDescent="0.35">
      <c r="B225" s="57">
        <v>45325</v>
      </c>
      <c r="C225" s="56">
        <v>11567.2</v>
      </c>
      <c r="D225" s="15">
        <f t="shared" si="7"/>
        <v>8.5566541065839496E-2</v>
      </c>
      <c r="G225" s="56">
        <v>22904.45</v>
      </c>
      <c r="H225" s="15">
        <f t="shared" si="6"/>
        <v>0</v>
      </c>
    </row>
    <row r="226" spans="2:8" x14ac:dyDescent="0.35">
      <c r="B226" s="57">
        <v>45326</v>
      </c>
      <c r="C226" s="56">
        <v>12552.45</v>
      </c>
      <c r="D226" s="15">
        <f t="shared" si="7"/>
        <v>8.5176187841482731E-2</v>
      </c>
      <c r="G226" s="56">
        <v>22904.45</v>
      </c>
      <c r="H226" s="15">
        <f t="shared" si="6"/>
        <v>0</v>
      </c>
    </row>
    <row r="227" spans="2:8" x14ac:dyDescent="0.35">
      <c r="B227" s="57">
        <v>45327</v>
      </c>
      <c r="C227" s="56">
        <v>12805.35</v>
      </c>
      <c r="D227" s="15">
        <f t="shared" si="7"/>
        <v>2.0147461252584042E-2</v>
      </c>
      <c r="G227" s="56">
        <v>22904.45</v>
      </c>
      <c r="H227" s="15">
        <f t="shared" si="6"/>
        <v>0</v>
      </c>
    </row>
    <row r="228" spans="2:8" x14ac:dyDescent="0.35">
      <c r="B228" s="57">
        <v>45329</v>
      </c>
      <c r="C228" s="56">
        <v>12042.6</v>
      </c>
      <c r="D228" s="15">
        <f t="shared" si="7"/>
        <v>-5.9564947463364937E-2</v>
      </c>
      <c r="G228" s="56">
        <v>22904.45</v>
      </c>
      <c r="H228" s="15">
        <f t="shared" si="6"/>
        <v>0</v>
      </c>
    </row>
    <row r="229" spans="2:8" x14ac:dyDescent="0.35">
      <c r="B229" s="57">
        <v>45330</v>
      </c>
      <c r="C229" s="56">
        <v>12726.4</v>
      </c>
      <c r="D229" s="15">
        <f t="shared" si="7"/>
        <v>5.6781758092106394E-2</v>
      </c>
      <c r="G229" s="56">
        <v>22904.45</v>
      </c>
      <c r="H229" s="15">
        <f t="shared" si="6"/>
        <v>0</v>
      </c>
    </row>
    <row r="230" spans="2:8" x14ac:dyDescent="0.35">
      <c r="B230" s="57">
        <v>45331</v>
      </c>
      <c r="C230" s="56">
        <v>12427.4</v>
      </c>
      <c r="D230" s="15">
        <f t="shared" si="7"/>
        <v>-2.3494468192104656E-2</v>
      </c>
      <c r="G230" s="56">
        <v>22904.45</v>
      </c>
      <c r="H230" s="15">
        <f t="shared" si="6"/>
        <v>0</v>
      </c>
    </row>
    <row r="231" spans="2:8" x14ac:dyDescent="0.35">
      <c r="B231" s="57">
        <v>45334</v>
      </c>
      <c r="C231" s="56">
        <v>11239.3</v>
      </c>
      <c r="D231" s="15">
        <f t="shared" si="7"/>
        <v>-9.560326375589423E-2</v>
      </c>
      <c r="G231" s="56">
        <v>22904.45</v>
      </c>
      <c r="H231" s="15">
        <f t="shared" si="6"/>
        <v>0</v>
      </c>
    </row>
    <row r="232" spans="2:8" x14ac:dyDescent="0.35">
      <c r="B232" s="57">
        <v>45335</v>
      </c>
      <c r="C232" s="56">
        <v>10794.5</v>
      </c>
      <c r="D232" s="15">
        <f t="shared" si="7"/>
        <v>-3.9575418397942874E-2</v>
      </c>
      <c r="G232" s="56">
        <v>22904.45</v>
      </c>
      <c r="H232" s="15">
        <f t="shared" si="6"/>
        <v>0</v>
      </c>
    </row>
    <row r="233" spans="2:8" x14ac:dyDescent="0.35">
      <c r="B233" s="57">
        <v>45336</v>
      </c>
      <c r="C233" s="56">
        <v>11027.95</v>
      </c>
      <c r="D233" s="15">
        <f t="shared" si="7"/>
        <v>2.1626754365649203E-2</v>
      </c>
      <c r="G233" s="56">
        <v>22904.45</v>
      </c>
      <c r="H233" s="15">
        <f t="shared" si="6"/>
        <v>0</v>
      </c>
    </row>
    <row r="234" spans="2:8" x14ac:dyDescent="0.35">
      <c r="B234" s="57">
        <v>45337</v>
      </c>
      <c r="C234" s="56">
        <v>11090.25</v>
      </c>
      <c r="D234" s="15">
        <f t="shared" si="7"/>
        <v>5.6492820515146036E-3</v>
      </c>
      <c r="G234" s="56">
        <v>22904.45</v>
      </c>
      <c r="H234" s="15">
        <f t="shared" si="6"/>
        <v>0</v>
      </c>
    </row>
    <row r="235" spans="2:8" x14ac:dyDescent="0.35">
      <c r="B235" s="57">
        <v>45338</v>
      </c>
      <c r="C235" s="56">
        <v>11380.4</v>
      </c>
      <c r="D235" s="15">
        <f t="shared" si="7"/>
        <v>2.6162620319650109E-2</v>
      </c>
      <c r="G235" s="56">
        <v>22904.45</v>
      </c>
      <c r="H235" s="15">
        <f t="shared" si="6"/>
        <v>0</v>
      </c>
    </row>
    <row r="236" spans="2:8" x14ac:dyDescent="0.35">
      <c r="B236" s="57">
        <v>45341</v>
      </c>
      <c r="C236" s="56">
        <v>11483.35</v>
      </c>
      <c r="D236" s="15">
        <f t="shared" si="7"/>
        <v>9.0462549646761481E-3</v>
      </c>
      <c r="G236" s="56">
        <v>22904.45</v>
      </c>
      <c r="H236" s="15">
        <f t="shared" si="6"/>
        <v>0</v>
      </c>
    </row>
    <row r="237" spans="2:8" x14ac:dyDescent="0.35">
      <c r="B237" s="57">
        <v>45342</v>
      </c>
      <c r="C237" s="56">
        <v>11446.45</v>
      </c>
      <c r="D237" s="15">
        <f t="shared" si="7"/>
        <v>-3.2133480212654941E-3</v>
      </c>
      <c r="G237" s="56">
        <v>22904.45</v>
      </c>
      <c r="H237" s="15">
        <f t="shared" si="6"/>
        <v>0</v>
      </c>
    </row>
    <row r="238" spans="2:8" x14ac:dyDescent="0.35">
      <c r="B238" s="57">
        <v>45343</v>
      </c>
      <c r="C238" s="56">
        <v>11465.85</v>
      </c>
      <c r="D238" s="15">
        <f t="shared" si="7"/>
        <v>1.694848621188294E-3</v>
      </c>
      <c r="G238" s="56">
        <v>22904.45</v>
      </c>
      <c r="H238" s="15">
        <f t="shared" si="6"/>
        <v>0</v>
      </c>
    </row>
    <row r="239" spans="2:8" x14ac:dyDescent="0.35">
      <c r="B239" s="57">
        <v>45344</v>
      </c>
      <c r="C239" s="56">
        <v>11657.8</v>
      </c>
      <c r="D239" s="15">
        <f t="shared" si="7"/>
        <v>1.6741017892262677E-2</v>
      </c>
      <c r="G239" s="56">
        <v>22904.45</v>
      </c>
      <c r="H239" s="15">
        <f t="shared" si="6"/>
        <v>0</v>
      </c>
    </row>
    <row r="240" spans="2:8" x14ac:dyDescent="0.35">
      <c r="B240" s="57">
        <v>45345</v>
      </c>
      <c r="C240" s="56">
        <v>11535.6</v>
      </c>
      <c r="D240" s="15">
        <f t="shared" si="7"/>
        <v>-1.0482252225977318E-2</v>
      </c>
      <c r="G240" s="56">
        <v>22904.45</v>
      </c>
      <c r="H240" s="15">
        <f t="shared" si="6"/>
        <v>0</v>
      </c>
    </row>
    <row r="241" spans="2:8" x14ac:dyDescent="0.35">
      <c r="B241" s="57">
        <v>45348</v>
      </c>
      <c r="C241" s="56">
        <v>11467</v>
      </c>
      <c r="D241" s="15">
        <f t="shared" si="7"/>
        <v>-5.9468081417525243E-3</v>
      </c>
      <c r="G241" s="56">
        <v>22904.45</v>
      </c>
      <c r="H241" s="15">
        <f t="shared" si="6"/>
        <v>0</v>
      </c>
    </row>
    <row r="242" spans="2:8" x14ac:dyDescent="0.35">
      <c r="B242" s="57">
        <v>45349</v>
      </c>
      <c r="C242" s="56">
        <v>11500.65</v>
      </c>
      <c r="D242" s="15">
        <f t="shared" si="7"/>
        <v>2.9345077177989065E-3</v>
      </c>
      <c r="G242" s="56">
        <v>22904.45</v>
      </c>
      <c r="H242" s="15">
        <f t="shared" si="6"/>
        <v>0</v>
      </c>
    </row>
    <row r="243" spans="2:8" x14ac:dyDescent="0.35">
      <c r="B243" s="57">
        <v>45350</v>
      </c>
      <c r="C243" s="56">
        <v>11152.8</v>
      </c>
      <c r="D243" s="15">
        <f t="shared" si="7"/>
        <v>-3.0246116523848676E-2</v>
      </c>
      <c r="G243" s="56">
        <v>22904.45</v>
      </c>
      <c r="H243" s="15">
        <f t="shared" si="6"/>
        <v>0</v>
      </c>
    </row>
    <row r="244" spans="2:8" x14ac:dyDescent="0.35">
      <c r="B244" s="57">
        <v>45351</v>
      </c>
      <c r="C244" s="56">
        <v>11288.35</v>
      </c>
      <c r="D244" s="15">
        <f t="shared" si="7"/>
        <v>1.2153898572555777E-2</v>
      </c>
      <c r="G244" s="56">
        <v>22904.45</v>
      </c>
      <c r="H244" s="15">
        <f t="shared" si="6"/>
        <v>0</v>
      </c>
    </row>
    <row r="245" spans="2:8" x14ac:dyDescent="0.35">
      <c r="B245" s="57">
        <v>45352</v>
      </c>
      <c r="C245" s="56">
        <v>10077.65</v>
      </c>
      <c r="D245" s="15">
        <f t="shared" si="7"/>
        <v>-0.10725216705718732</v>
      </c>
      <c r="G245" s="56">
        <v>22904.45</v>
      </c>
      <c r="H245" s="15">
        <f t="shared" si="6"/>
        <v>0</v>
      </c>
    </row>
    <row r="246" spans="2:8" x14ac:dyDescent="0.35">
      <c r="B246" s="57">
        <v>45355</v>
      </c>
      <c r="C246" s="56">
        <v>12427.85</v>
      </c>
      <c r="D246" s="15">
        <f t="shared" si="7"/>
        <v>0.23320913109703167</v>
      </c>
      <c r="G246" s="56">
        <v>22904.45</v>
      </c>
      <c r="H246" s="15">
        <f t="shared" si="6"/>
        <v>0</v>
      </c>
    </row>
    <row r="247" spans="2:8" x14ac:dyDescent="0.35">
      <c r="B247" s="57">
        <v>45356</v>
      </c>
      <c r="C247" s="56">
        <v>12492.15</v>
      </c>
      <c r="D247" s="15">
        <f t="shared" si="7"/>
        <v>5.1738635403548727E-3</v>
      </c>
      <c r="G247" s="56">
        <v>22904.45</v>
      </c>
      <c r="H247" s="15">
        <f t="shared" si="6"/>
        <v>0</v>
      </c>
    </row>
    <row r="248" spans="2:8" x14ac:dyDescent="0.35">
      <c r="B248" s="57">
        <v>45357</v>
      </c>
      <c r="C248" s="56">
        <v>12476.15</v>
      </c>
      <c r="D248" s="15">
        <f t="shared" si="7"/>
        <v>-1.2808043451287832E-3</v>
      </c>
      <c r="G248" s="56">
        <v>22904.45</v>
      </c>
      <c r="H248" s="15">
        <f t="shared" si="6"/>
        <v>0</v>
      </c>
    </row>
    <row r="249" spans="2:8" x14ac:dyDescent="0.35">
      <c r="B249" s="57">
        <v>45358</v>
      </c>
      <c r="C249" s="56">
        <v>12123.65</v>
      </c>
      <c r="D249" s="15">
        <f t="shared" si="7"/>
        <v>-2.8253908457336552E-2</v>
      </c>
      <c r="G249" s="56">
        <v>22904.45</v>
      </c>
      <c r="H249" s="15">
        <f t="shared" si="6"/>
        <v>0</v>
      </c>
    </row>
    <row r="250" spans="2:8" x14ac:dyDescent="0.35">
      <c r="B250" s="57">
        <v>45360</v>
      </c>
      <c r="C250" s="56">
        <v>12397.1</v>
      </c>
      <c r="D250" s="15">
        <f t="shared" si="7"/>
        <v>2.2555088607803864E-2</v>
      </c>
      <c r="G250" s="56">
        <v>22904.45</v>
      </c>
      <c r="H250" s="15">
        <f t="shared" si="6"/>
        <v>0</v>
      </c>
    </row>
    <row r="251" spans="2:8" x14ac:dyDescent="0.35">
      <c r="B251" s="57">
        <v>45361</v>
      </c>
      <c r="C251" s="56">
        <v>12647.35</v>
      </c>
      <c r="D251" s="15">
        <f t="shared" si="7"/>
        <v>2.0186172572617789E-2</v>
      </c>
      <c r="G251" s="56">
        <v>22904.45</v>
      </c>
      <c r="H251" s="15">
        <f t="shared" si="6"/>
        <v>0</v>
      </c>
    </row>
    <row r="252" spans="2:8" x14ac:dyDescent="0.35">
      <c r="B252" s="57">
        <v>45363</v>
      </c>
      <c r="C252" s="56">
        <v>11279.25</v>
      </c>
      <c r="D252" s="15">
        <f t="shared" si="7"/>
        <v>-0.10817285834581947</v>
      </c>
      <c r="G252" s="56">
        <v>22904.45</v>
      </c>
      <c r="H252" s="15">
        <f t="shared" si="6"/>
        <v>0</v>
      </c>
    </row>
    <row r="253" spans="2:8" x14ac:dyDescent="0.35">
      <c r="B253" s="57">
        <v>45364</v>
      </c>
      <c r="C253" s="56">
        <v>11390.15</v>
      </c>
      <c r="D253" s="15">
        <f t="shared" si="7"/>
        <v>9.8322140213222831E-3</v>
      </c>
      <c r="G253" s="56">
        <v>22904.45</v>
      </c>
      <c r="H253" s="15">
        <f t="shared" si="6"/>
        <v>0</v>
      </c>
    </row>
    <row r="254" spans="2:8" x14ac:dyDescent="0.35">
      <c r="B254" s="57">
        <v>45365</v>
      </c>
      <c r="C254" s="56">
        <v>11404.6</v>
      </c>
      <c r="D254" s="15">
        <f t="shared" si="7"/>
        <v>1.2686400091308503E-3</v>
      </c>
      <c r="G254" s="56">
        <v>22904.45</v>
      </c>
      <c r="H254" s="15">
        <f t="shared" si="6"/>
        <v>0</v>
      </c>
    </row>
    <row r="255" spans="2:8" x14ac:dyDescent="0.35">
      <c r="B255" s="57">
        <v>45366</v>
      </c>
      <c r="C255" s="56">
        <v>11476.65</v>
      </c>
      <c r="D255" s="15">
        <f t="shared" si="7"/>
        <v>6.3176262209985179E-3</v>
      </c>
      <c r="G255" s="56">
        <v>22904.45</v>
      </c>
      <c r="H255" s="15">
        <f t="shared" ref="H255:H318" si="8">G255/G254-1</f>
        <v>0</v>
      </c>
    </row>
    <row r="256" spans="2:8" x14ac:dyDescent="0.35">
      <c r="B256" s="57">
        <v>45369</v>
      </c>
      <c r="C256" s="56">
        <v>11636.3</v>
      </c>
      <c r="D256" s="15">
        <f t="shared" si="7"/>
        <v>1.391085377701673E-2</v>
      </c>
      <c r="G256" s="56">
        <v>22904.45</v>
      </c>
      <c r="H256" s="15">
        <f t="shared" si="8"/>
        <v>0</v>
      </c>
    </row>
    <row r="257" spans="2:8" x14ac:dyDescent="0.35">
      <c r="B257" s="57">
        <v>45370</v>
      </c>
      <c r="C257" s="56">
        <v>11597.05</v>
      </c>
      <c r="D257" s="15">
        <f t="shared" si="7"/>
        <v>-3.3730653214509854E-3</v>
      </c>
      <c r="G257" s="56">
        <v>22904.45</v>
      </c>
      <c r="H257" s="15">
        <f t="shared" si="8"/>
        <v>0</v>
      </c>
    </row>
    <row r="258" spans="2:8" x14ac:dyDescent="0.35">
      <c r="B258" s="57">
        <v>45371</v>
      </c>
      <c r="C258" s="56">
        <v>11941.15</v>
      </c>
      <c r="D258" s="15">
        <f t="shared" si="7"/>
        <v>2.9671338831858129E-2</v>
      </c>
      <c r="G258" s="56">
        <v>22904.45</v>
      </c>
      <c r="H258" s="15">
        <f t="shared" si="8"/>
        <v>0</v>
      </c>
    </row>
    <row r="259" spans="2:8" x14ac:dyDescent="0.35">
      <c r="B259" s="57">
        <v>45372</v>
      </c>
      <c r="C259" s="56">
        <v>11908.15</v>
      </c>
      <c r="D259" s="15">
        <f t="shared" si="7"/>
        <v>-2.7635529241321066E-3</v>
      </c>
      <c r="G259" s="56">
        <v>22904.45</v>
      </c>
      <c r="H259" s="15">
        <f t="shared" si="8"/>
        <v>0</v>
      </c>
    </row>
    <row r="260" spans="2:8" x14ac:dyDescent="0.35">
      <c r="B260" s="57">
        <v>45373</v>
      </c>
      <c r="C260" s="56">
        <v>12337.7</v>
      </c>
      <c r="D260" s="15">
        <f t="shared" si="7"/>
        <v>3.6071933927604327E-2</v>
      </c>
      <c r="G260" s="56">
        <v>22904.45</v>
      </c>
      <c r="H260" s="15">
        <f t="shared" si="8"/>
        <v>0</v>
      </c>
    </row>
    <row r="261" spans="2:8" x14ac:dyDescent="0.35">
      <c r="B261" s="57">
        <v>45377</v>
      </c>
      <c r="C261" s="56">
        <v>12250.55</v>
      </c>
      <c r="D261" s="15">
        <f t="shared" si="7"/>
        <v>-7.0637152791850344E-3</v>
      </c>
      <c r="G261" s="56">
        <v>22904.45</v>
      </c>
      <c r="H261" s="15">
        <f t="shared" si="8"/>
        <v>0</v>
      </c>
    </row>
    <row r="262" spans="2:8" x14ac:dyDescent="0.35">
      <c r="B262" s="57">
        <v>45378</v>
      </c>
      <c r="C262" s="56">
        <v>12510.35</v>
      </c>
      <c r="D262" s="15">
        <f t="shared" si="7"/>
        <v>2.1207211104807611E-2</v>
      </c>
      <c r="G262" s="56">
        <v>22904.45</v>
      </c>
      <c r="H262" s="15">
        <f t="shared" si="8"/>
        <v>0</v>
      </c>
    </row>
    <row r="263" spans="2:8" x14ac:dyDescent="0.35">
      <c r="B263" s="57">
        <v>45379</v>
      </c>
      <c r="C263" s="56">
        <v>12600.35</v>
      </c>
      <c r="D263" s="15">
        <f t="shared" si="7"/>
        <v>7.1940433321209252E-3</v>
      </c>
      <c r="G263" s="56">
        <v>22904.45</v>
      </c>
      <c r="H263" s="15">
        <f t="shared" si="8"/>
        <v>0</v>
      </c>
    </row>
    <row r="264" spans="2:8" x14ac:dyDescent="0.35">
      <c r="B264" s="57">
        <v>45383</v>
      </c>
      <c r="C264" s="56">
        <v>10015.299999999999</v>
      </c>
      <c r="D264" s="15">
        <f t="shared" si="7"/>
        <v>-0.20515699960715383</v>
      </c>
      <c r="G264" s="56">
        <v>22904.45</v>
      </c>
      <c r="H264" s="15">
        <f t="shared" si="8"/>
        <v>0</v>
      </c>
    </row>
    <row r="265" spans="2:8" x14ac:dyDescent="0.35">
      <c r="B265" s="57">
        <v>45385</v>
      </c>
      <c r="C265" s="56">
        <v>11594.15</v>
      </c>
      <c r="D265" s="15">
        <f t="shared" si="7"/>
        <v>0.15764380497838304</v>
      </c>
      <c r="G265" s="56">
        <v>22904.45</v>
      </c>
      <c r="H265" s="15">
        <f t="shared" si="8"/>
        <v>0</v>
      </c>
    </row>
    <row r="266" spans="2:8" x14ac:dyDescent="0.35">
      <c r="B266" s="57">
        <v>45386</v>
      </c>
      <c r="C266" s="56">
        <v>12567.25</v>
      </c>
      <c r="D266" s="15">
        <f t="shared" si="7"/>
        <v>8.3930257931801755E-2</v>
      </c>
      <c r="G266" s="56">
        <v>22904.45</v>
      </c>
      <c r="H266" s="15">
        <f t="shared" si="8"/>
        <v>0</v>
      </c>
    </row>
    <row r="267" spans="2:8" x14ac:dyDescent="0.35">
      <c r="B267" s="57">
        <v>45388</v>
      </c>
      <c r="C267" s="56">
        <v>12176.05</v>
      </c>
      <c r="D267" s="15">
        <f t="shared" ref="D267:D330" si="9">C267/C266-1</f>
        <v>-3.1128528516580878E-2</v>
      </c>
      <c r="G267" s="56">
        <v>22904.45</v>
      </c>
      <c r="H267" s="15">
        <f t="shared" si="8"/>
        <v>0</v>
      </c>
    </row>
    <row r="268" spans="2:8" x14ac:dyDescent="0.35">
      <c r="B268" s="57">
        <v>45389</v>
      </c>
      <c r="C268" s="56">
        <v>12089.6</v>
      </c>
      <c r="D268" s="15">
        <f t="shared" si="9"/>
        <v>-7.1000036957797885E-3</v>
      </c>
      <c r="G268" s="56">
        <v>22904.45</v>
      </c>
      <c r="H268" s="15">
        <f t="shared" si="8"/>
        <v>0</v>
      </c>
    </row>
    <row r="269" spans="2:8" x14ac:dyDescent="0.35">
      <c r="B269" s="57">
        <v>45391</v>
      </c>
      <c r="C269" s="56">
        <v>12336.25</v>
      </c>
      <c r="D269" s="15">
        <f t="shared" si="9"/>
        <v>2.0401832980412982E-2</v>
      </c>
      <c r="G269" s="56">
        <v>22904.45</v>
      </c>
      <c r="H269" s="15">
        <f t="shared" si="8"/>
        <v>0</v>
      </c>
    </row>
    <row r="270" spans="2:8" x14ac:dyDescent="0.35">
      <c r="B270" s="57">
        <v>45392</v>
      </c>
      <c r="C270" s="56">
        <v>12605.75</v>
      </c>
      <c r="D270" s="15">
        <f t="shared" si="9"/>
        <v>2.1846185023811859E-2</v>
      </c>
      <c r="G270" s="56">
        <v>22904.45</v>
      </c>
      <c r="H270" s="15">
        <f t="shared" si="8"/>
        <v>0</v>
      </c>
    </row>
    <row r="271" spans="2:8" x14ac:dyDescent="0.35">
      <c r="B271" s="57">
        <v>45393</v>
      </c>
      <c r="C271" s="56">
        <v>11052.45</v>
      </c>
      <c r="D271" s="15">
        <f t="shared" si="9"/>
        <v>-0.12322154572318178</v>
      </c>
      <c r="G271" s="56">
        <v>22904.45</v>
      </c>
      <c r="H271" s="15">
        <f t="shared" si="8"/>
        <v>0</v>
      </c>
    </row>
    <row r="272" spans="2:8" x14ac:dyDescent="0.35">
      <c r="B272" s="57">
        <v>45394</v>
      </c>
      <c r="C272" s="56">
        <v>11129.85</v>
      </c>
      <c r="D272" s="15">
        <f t="shared" si="9"/>
        <v>7.0029721916859966E-3</v>
      </c>
      <c r="G272" s="56">
        <v>22904.45</v>
      </c>
      <c r="H272" s="15">
        <f t="shared" si="8"/>
        <v>0</v>
      </c>
    </row>
    <row r="273" spans="2:8" x14ac:dyDescent="0.35">
      <c r="B273" s="57">
        <v>45397</v>
      </c>
      <c r="C273" s="56">
        <v>12422.85</v>
      </c>
      <c r="D273" s="15">
        <f t="shared" si="9"/>
        <v>0.11617407242685207</v>
      </c>
      <c r="G273" s="56">
        <v>22904.45</v>
      </c>
      <c r="H273" s="15">
        <f t="shared" si="8"/>
        <v>0</v>
      </c>
    </row>
    <row r="274" spans="2:8" x14ac:dyDescent="0.35">
      <c r="B274" s="57">
        <v>45398</v>
      </c>
      <c r="C274" s="56">
        <v>12502.7</v>
      </c>
      <c r="D274" s="15">
        <f t="shared" si="9"/>
        <v>6.4276715890476677E-3</v>
      </c>
      <c r="G274" s="56">
        <v>22904.45</v>
      </c>
      <c r="H274" s="15">
        <f t="shared" si="8"/>
        <v>0</v>
      </c>
    </row>
    <row r="275" spans="2:8" x14ac:dyDescent="0.35">
      <c r="B275" s="57">
        <v>45400</v>
      </c>
      <c r="C275" s="56">
        <v>12405</v>
      </c>
      <c r="D275" s="15">
        <f t="shared" si="9"/>
        <v>-7.8143121085846312E-3</v>
      </c>
      <c r="G275" s="56">
        <v>22904.45</v>
      </c>
      <c r="H275" s="15">
        <f t="shared" si="8"/>
        <v>0</v>
      </c>
    </row>
    <row r="276" spans="2:8" x14ac:dyDescent="0.35">
      <c r="B276" s="57">
        <v>45401</v>
      </c>
      <c r="C276" s="56">
        <v>12710.95</v>
      </c>
      <c r="D276" s="15">
        <f t="shared" si="9"/>
        <v>2.4663442160419269E-2</v>
      </c>
      <c r="G276" s="56">
        <v>22904.45</v>
      </c>
      <c r="H276" s="15">
        <f t="shared" si="8"/>
        <v>0</v>
      </c>
    </row>
    <row r="277" spans="2:8" x14ac:dyDescent="0.35">
      <c r="B277" s="57">
        <v>45404</v>
      </c>
      <c r="C277" s="56">
        <v>12785.5</v>
      </c>
      <c r="D277" s="15">
        <f t="shared" si="9"/>
        <v>5.8650218905746954E-3</v>
      </c>
      <c r="G277" s="56">
        <v>22904.45</v>
      </c>
      <c r="H277" s="15">
        <f t="shared" si="8"/>
        <v>0</v>
      </c>
    </row>
    <row r="278" spans="2:8" x14ac:dyDescent="0.35">
      <c r="B278" s="57">
        <v>45405</v>
      </c>
      <c r="C278" s="56">
        <v>12996.25</v>
      </c>
      <c r="D278" s="15">
        <f t="shared" si="9"/>
        <v>1.6483516483516425E-2</v>
      </c>
      <c r="G278" s="56">
        <v>22904.45</v>
      </c>
      <c r="H278" s="15">
        <f t="shared" si="8"/>
        <v>0</v>
      </c>
    </row>
    <row r="279" spans="2:8" x14ac:dyDescent="0.35">
      <c r="B279" s="57">
        <v>45406</v>
      </c>
      <c r="C279" s="56">
        <v>12944.05</v>
      </c>
      <c r="D279" s="15">
        <f t="shared" si="9"/>
        <v>-4.0165432336251028E-3</v>
      </c>
      <c r="G279" s="56">
        <v>22904.45</v>
      </c>
      <c r="H279" s="15">
        <f t="shared" si="8"/>
        <v>0</v>
      </c>
    </row>
    <row r="280" spans="2:8" x14ac:dyDescent="0.35">
      <c r="B280" s="57">
        <v>45407</v>
      </c>
      <c r="C280" s="56">
        <v>12922.5</v>
      </c>
      <c r="D280" s="15">
        <f t="shared" si="9"/>
        <v>-1.6648575986649705E-3</v>
      </c>
      <c r="G280" s="56">
        <v>22904.45</v>
      </c>
      <c r="H280" s="15">
        <f t="shared" si="8"/>
        <v>0</v>
      </c>
    </row>
    <row r="281" spans="2:8" x14ac:dyDescent="0.35">
      <c r="B281" s="57">
        <v>45408</v>
      </c>
      <c r="C281" s="56">
        <v>12703.35</v>
      </c>
      <c r="D281" s="15">
        <f t="shared" si="9"/>
        <v>-1.6958792803250078E-2</v>
      </c>
      <c r="G281" s="56">
        <v>22904.45</v>
      </c>
      <c r="H281" s="15">
        <f t="shared" si="8"/>
        <v>0</v>
      </c>
    </row>
    <row r="282" spans="2:8" x14ac:dyDescent="0.35">
      <c r="B282" s="57">
        <v>45411</v>
      </c>
      <c r="C282" s="56">
        <v>12689.85</v>
      </c>
      <c r="D282" s="15">
        <f t="shared" si="9"/>
        <v>-1.0627118043665673E-3</v>
      </c>
      <c r="G282" s="56">
        <v>22904.45</v>
      </c>
      <c r="H282" s="15">
        <f t="shared" si="8"/>
        <v>0</v>
      </c>
    </row>
    <row r="283" spans="2:8" x14ac:dyDescent="0.35">
      <c r="B283" s="57">
        <v>45412</v>
      </c>
      <c r="C283" s="56">
        <v>12817.5</v>
      </c>
      <c r="D283" s="15">
        <f t="shared" si="9"/>
        <v>1.0059220558162663E-2</v>
      </c>
      <c r="G283" s="56">
        <v>22904.45</v>
      </c>
      <c r="H283" s="15">
        <f t="shared" si="8"/>
        <v>0</v>
      </c>
    </row>
    <row r="284" spans="2:8" x14ac:dyDescent="0.35">
      <c r="B284" s="57">
        <v>45413</v>
      </c>
      <c r="C284" s="56">
        <v>10017</v>
      </c>
      <c r="D284" s="15">
        <f t="shared" si="9"/>
        <v>-0.21849034523112931</v>
      </c>
      <c r="G284" s="56">
        <v>22904.45</v>
      </c>
      <c r="H284" s="15">
        <f t="shared" si="8"/>
        <v>0</v>
      </c>
    </row>
    <row r="285" spans="2:8" x14ac:dyDescent="0.35">
      <c r="B285" s="57">
        <v>45414</v>
      </c>
      <c r="C285" s="56">
        <v>10428.549999999999</v>
      </c>
      <c r="D285" s="15">
        <f t="shared" si="9"/>
        <v>4.1085155236098458E-2</v>
      </c>
      <c r="G285" s="56">
        <v>22904.45</v>
      </c>
      <c r="H285" s="15">
        <f t="shared" si="8"/>
        <v>0</v>
      </c>
    </row>
    <row r="286" spans="2:8" x14ac:dyDescent="0.35">
      <c r="B286" s="57">
        <v>45415</v>
      </c>
      <c r="C286" s="56">
        <v>11670.6</v>
      </c>
      <c r="D286" s="15">
        <f t="shared" si="9"/>
        <v>0.11910092965944452</v>
      </c>
      <c r="G286" s="56">
        <v>22904.45</v>
      </c>
      <c r="H286" s="15">
        <f t="shared" si="8"/>
        <v>0</v>
      </c>
    </row>
    <row r="287" spans="2:8" x14ac:dyDescent="0.35">
      <c r="B287" s="57">
        <v>45416</v>
      </c>
      <c r="C287" s="56">
        <v>12421.6</v>
      </c>
      <c r="D287" s="15">
        <f t="shared" si="9"/>
        <v>6.4349733518413776E-2</v>
      </c>
      <c r="G287" s="56">
        <v>22904.45</v>
      </c>
      <c r="H287" s="15">
        <f t="shared" si="8"/>
        <v>0</v>
      </c>
    </row>
    <row r="288" spans="2:8" x14ac:dyDescent="0.35">
      <c r="B288" s="57">
        <v>45418</v>
      </c>
      <c r="C288" s="56">
        <v>12502.6</v>
      </c>
      <c r="D288" s="15">
        <f t="shared" si="9"/>
        <v>6.5208990790235344E-3</v>
      </c>
      <c r="G288" s="56">
        <v>22904.45</v>
      </c>
      <c r="H288" s="15">
        <f t="shared" si="8"/>
        <v>0</v>
      </c>
    </row>
    <row r="289" spans="2:8" x14ac:dyDescent="0.35">
      <c r="B289" s="57">
        <v>45419</v>
      </c>
      <c r="C289" s="56">
        <v>12104.05</v>
      </c>
      <c r="D289" s="15">
        <f t="shared" si="9"/>
        <v>-3.1877369507142594E-2</v>
      </c>
      <c r="G289" s="56">
        <v>22904.45</v>
      </c>
      <c r="H289" s="15">
        <f t="shared" si="8"/>
        <v>0</v>
      </c>
    </row>
    <row r="290" spans="2:8" x14ac:dyDescent="0.35">
      <c r="B290" s="57">
        <v>45420</v>
      </c>
      <c r="C290" s="56">
        <v>12200.85</v>
      </c>
      <c r="D290" s="15">
        <f t="shared" si="9"/>
        <v>7.997323210000129E-3</v>
      </c>
      <c r="G290" s="56">
        <v>22904.45</v>
      </c>
      <c r="H290" s="15">
        <f t="shared" si="8"/>
        <v>0</v>
      </c>
    </row>
    <row r="291" spans="2:8" x14ac:dyDescent="0.35">
      <c r="B291" s="57">
        <v>45421</v>
      </c>
      <c r="C291" s="56">
        <v>12298.6</v>
      </c>
      <c r="D291" s="15">
        <f t="shared" si="9"/>
        <v>8.011736887184151E-3</v>
      </c>
      <c r="G291" s="56">
        <v>22904.45</v>
      </c>
      <c r="H291" s="15">
        <f t="shared" si="8"/>
        <v>0</v>
      </c>
    </row>
    <row r="292" spans="2:8" x14ac:dyDescent="0.35">
      <c r="B292" s="57">
        <v>45423</v>
      </c>
      <c r="C292" s="56">
        <v>11170.1</v>
      </c>
      <c r="D292" s="15">
        <f t="shared" si="9"/>
        <v>-9.1758411526515204E-2</v>
      </c>
      <c r="G292" s="56">
        <v>22904.45</v>
      </c>
      <c r="H292" s="15">
        <f t="shared" si="8"/>
        <v>0</v>
      </c>
    </row>
    <row r="293" spans="2:8" x14ac:dyDescent="0.35">
      <c r="B293" s="57">
        <v>45424</v>
      </c>
      <c r="C293" s="56">
        <v>11182.25</v>
      </c>
      <c r="D293" s="15">
        <f t="shared" si="9"/>
        <v>1.0877252665597581E-3</v>
      </c>
      <c r="G293" s="56">
        <v>22904.45</v>
      </c>
      <c r="H293" s="15">
        <f t="shared" si="8"/>
        <v>0</v>
      </c>
    </row>
    <row r="294" spans="2:8" x14ac:dyDescent="0.35">
      <c r="B294" s="57">
        <v>45425</v>
      </c>
      <c r="C294" s="56">
        <v>12673.85</v>
      </c>
      <c r="D294" s="15">
        <f t="shared" si="9"/>
        <v>0.13338997071251324</v>
      </c>
      <c r="G294" s="56">
        <v>22904.45</v>
      </c>
      <c r="H294" s="15">
        <f t="shared" si="8"/>
        <v>0</v>
      </c>
    </row>
    <row r="295" spans="2:8" x14ac:dyDescent="0.35">
      <c r="B295" s="57">
        <v>45426</v>
      </c>
      <c r="C295" s="56">
        <v>12814.2</v>
      </c>
      <c r="D295" s="15">
        <f t="shared" si="9"/>
        <v>1.1073983043826452E-2</v>
      </c>
      <c r="G295" s="56">
        <v>22904.45</v>
      </c>
      <c r="H295" s="15">
        <f t="shared" si="8"/>
        <v>0</v>
      </c>
    </row>
    <row r="296" spans="2:8" x14ac:dyDescent="0.35">
      <c r="B296" s="57">
        <v>45427</v>
      </c>
      <c r="C296" s="56">
        <v>12767.3</v>
      </c>
      <c r="D296" s="15">
        <f t="shared" si="9"/>
        <v>-3.6600021850760056E-3</v>
      </c>
      <c r="G296" s="56">
        <v>22904.45</v>
      </c>
      <c r="H296" s="15">
        <f t="shared" si="8"/>
        <v>0</v>
      </c>
    </row>
    <row r="297" spans="2:8" x14ac:dyDescent="0.35">
      <c r="B297" s="57">
        <v>45428</v>
      </c>
      <c r="C297" s="56">
        <v>12497.65</v>
      </c>
      <c r="D297" s="15">
        <f t="shared" si="9"/>
        <v>-2.1120362175244489E-2</v>
      </c>
      <c r="G297" s="56">
        <v>22904.45</v>
      </c>
      <c r="H297" s="15">
        <f t="shared" si="8"/>
        <v>0</v>
      </c>
    </row>
    <row r="298" spans="2:8" x14ac:dyDescent="0.35">
      <c r="B298" s="57">
        <v>45429</v>
      </c>
      <c r="C298" s="56">
        <v>12641.5</v>
      </c>
      <c r="D298" s="15">
        <f t="shared" si="9"/>
        <v>1.1510163910815274E-2</v>
      </c>
      <c r="G298" s="56">
        <v>22904.45</v>
      </c>
      <c r="H298" s="15">
        <f t="shared" si="8"/>
        <v>0</v>
      </c>
    </row>
    <row r="299" spans="2:8" x14ac:dyDescent="0.35">
      <c r="B299" s="57">
        <v>45430</v>
      </c>
      <c r="C299" s="56">
        <v>12600.15</v>
      </c>
      <c r="D299" s="15">
        <f t="shared" si="9"/>
        <v>-3.2709725902780873E-3</v>
      </c>
      <c r="G299" s="56">
        <v>22904.45</v>
      </c>
      <c r="H299" s="15">
        <f t="shared" si="8"/>
        <v>0</v>
      </c>
    </row>
    <row r="300" spans="2:8" x14ac:dyDescent="0.35">
      <c r="B300" s="57">
        <v>45433</v>
      </c>
      <c r="C300" s="56">
        <v>12473.3</v>
      </c>
      <c r="D300" s="15">
        <f t="shared" si="9"/>
        <v>-1.0067340468169039E-2</v>
      </c>
      <c r="G300" s="56">
        <v>22904.45</v>
      </c>
      <c r="H300" s="15">
        <f t="shared" si="8"/>
        <v>0</v>
      </c>
    </row>
    <row r="301" spans="2:8" x14ac:dyDescent="0.35">
      <c r="B301" s="57">
        <v>45434</v>
      </c>
      <c r="C301" s="56">
        <v>12531.35</v>
      </c>
      <c r="D301" s="15">
        <f t="shared" si="9"/>
        <v>4.6539408175865216E-3</v>
      </c>
      <c r="G301" s="56">
        <v>22904.45</v>
      </c>
      <c r="H301" s="15">
        <f t="shared" si="8"/>
        <v>0</v>
      </c>
    </row>
    <row r="302" spans="2:8" x14ac:dyDescent="0.35">
      <c r="B302" s="57">
        <v>45435</v>
      </c>
      <c r="C302" s="56">
        <v>12934.9</v>
      </c>
      <c r="D302" s="15">
        <f t="shared" si="9"/>
        <v>3.2203234288404659E-2</v>
      </c>
      <c r="G302" s="56">
        <v>22904.45</v>
      </c>
      <c r="H302" s="15">
        <f t="shared" si="8"/>
        <v>0</v>
      </c>
    </row>
    <row r="303" spans="2:8" x14ac:dyDescent="0.35">
      <c r="B303" s="57">
        <v>45436</v>
      </c>
      <c r="C303" s="56">
        <v>13000.45</v>
      </c>
      <c r="D303" s="15">
        <f t="shared" si="9"/>
        <v>5.0676851000008849E-3</v>
      </c>
      <c r="G303" s="56">
        <v>22904.45</v>
      </c>
      <c r="H303" s="15">
        <f t="shared" si="8"/>
        <v>0</v>
      </c>
    </row>
    <row r="304" spans="2:8" x14ac:dyDescent="0.35">
      <c r="B304" s="57">
        <v>45439</v>
      </c>
      <c r="C304" s="56">
        <v>12906.1</v>
      </c>
      <c r="D304" s="15">
        <f t="shared" si="9"/>
        <v>-7.2574410885777318E-3</v>
      </c>
      <c r="G304" s="56">
        <v>22904.45</v>
      </c>
      <c r="H304" s="15">
        <f t="shared" si="8"/>
        <v>0</v>
      </c>
    </row>
    <row r="305" spans="2:8" x14ac:dyDescent="0.35">
      <c r="B305" s="57">
        <v>45440</v>
      </c>
      <c r="C305" s="56">
        <v>12818.6</v>
      </c>
      <c r="D305" s="15">
        <f t="shared" si="9"/>
        <v>-6.7797398129566533E-3</v>
      </c>
      <c r="G305" s="56">
        <v>22904.45</v>
      </c>
      <c r="H305" s="15">
        <f t="shared" si="8"/>
        <v>0</v>
      </c>
    </row>
    <row r="306" spans="2:8" x14ac:dyDescent="0.35">
      <c r="B306" s="57">
        <v>45441</v>
      </c>
      <c r="C306" s="56">
        <v>12788.65</v>
      </c>
      <c r="D306" s="15">
        <f t="shared" si="9"/>
        <v>-2.3364485981308691E-3</v>
      </c>
      <c r="G306" s="56">
        <v>22904.45</v>
      </c>
      <c r="H306" s="15">
        <f t="shared" si="8"/>
        <v>0</v>
      </c>
    </row>
    <row r="307" spans="2:8" x14ac:dyDescent="0.35">
      <c r="B307" s="57">
        <v>45442</v>
      </c>
      <c r="C307" s="56">
        <v>12598</v>
      </c>
      <c r="D307" s="15">
        <f t="shared" si="9"/>
        <v>-1.4907750231650696E-2</v>
      </c>
      <c r="G307" s="56">
        <v>22904.45</v>
      </c>
      <c r="H307" s="15">
        <f t="shared" si="8"/>
        <v>0</v>
      </c>
    </row>
    <row r="308" spans="2:8" x14ac:dyDescent="0.35">
      <c r="B308" s="57">
        <v>45443</v>
      </c>
      <c r="C308" s="56">
        <v>12399.3</v>
      </c>
      <c r="D308" s="15">
        <f t="shared" si="9"/>
        <v>-1.5772344816637585E-2</v>
      </c>
      <c r="G308" s="56">
        <v>22904.45</v>
      </c>
      <c r="H308" s="15">
        <f t="shared" si="8"/>
        <v>0</v>
      </c>
    </row>
    <row r="309" spans="2:8" x14ac:dyDescent="0.35">
      <c r="B309" s="57">
        <v>45445</v>
      </c>
      <c r="C309" s="56">
        <v>10844.85</v>
      </c>
      <c r="D309" s="15">
        <f t="shared" si="9"/>
        <v>-0.12536594807771395</v>
      </c>
      <c r="G309" s="56">
        <v>22904.45</v>
      </c>
      <c r="H309" s="15">
        <f t="shared" si="8"/>
        <v>0</v>
      </c>
    </row>
    <row r="310" spans="2:8" x14ac:dyDescent="0.35">
      <c r="B310" s="57">
        <v>45446</v>
      </c>
      <c r="C310" s="56">
        <v>11567.05</v>
      </c>
      <c r="D310" s="15">
        <f t="shared" si="9"/>
        <v>6.6593821030258571E-2</v>
      </c>
      <c r="G310" s="56">
        <v>22904.45</v>
      </c>
      <c r="H310" s="15">
        <f t="shared" si="8"/>
        <v>0</v>
      </c>
    </row>
    <row r="311" spans="2:8" x14ac:dyDescent="0.35">
      <c r="B311" s="57">
        <v>45448</v>
      </c>
      <c r="C311" s="56">
        <v>12439.3</v>
      </c>
      <c r="D311" s="15">
        <f t="shared" si="9"/>
        <v>7.5408163706390141E-2</v>
      </c>
      <c r="G311" s="56">
        <v>22904.45</v>
      </c>
      <c r="H311" s="15">
        <f t="shared" si="8"/>
        <v>0</v>
      </c>
    </row>
    <row r="312" spans="2:8" x14ac:dyDescent="0.35">
      <c r="B312" s="57">
        <v>45449</v>
      </c>
      <c r="C312" s="56">
        <v>12673.5</v>
      </c>
      <c r="D312" s="15">
        <f t="shared" si="9"/>
        <v>1.8827425980561641E-2</v>
      </c>
      <c r="G312" s="56">
        <v>22904.45</v>
      </c>
      <c r="H312" s="15">
        <f t="shared" si="8"/>
        <v>0</v>
      </c>
    </row>
    <row r="313" spans="2:8" x14ac:dyDescent="0.35">
      <c r="B313" s="57">
        <v>45451</v>
      </c>
      <c r="C313" s="56">
        <v>12131.1</v>
      </c>
      <c r="D313" s="15">
        <f t="shared" si="9"/>
        <v>-4.2797964256124921E-2</v>
      </c>
      <c r="G313" s="56">
        <v>22904.45</v>
      </c>
      <c r="H313" s="15">
        <f t="shared" si="8"/>
        <v>0</v>
      </c>
    </row>
    <row r="314" spans="2:8" x14ac:dyDescent="0.35">
      <c r="B314" s="57">
        <v>45452</v>
      </c>
      <c r="C314" s="56">
        <v>12186.15</v>
      </c>
      <c r="D314" s="15">
        <f t="shared" si="9"/>
        <v>4.5379231891584659E-3</v>
      </c>
      <c r="G314" s="56">
        <v>22904.45</v>
      </c>
      <c r="H314" s="15">
        <f t="shared" si="8"/>
        <v>0</v>
      </c>
    </row>
    <row r="315" spans="2:8" x14ac:dyDescent="0.35">
      <c r="B315" s="57">
        <v>45454</v>
      </c>
      <c r="C315" s="56">
        <v>11354.25</v>
      </c>
      <c r="D315" s="15">
        <f t="shared" si="9"/>
        <v>-6.8266023313351631E-2</v>
      </c>
      <c r="G315" s="56">
        <v>22904.45</v>
      </c>
      <c r="H315" s="15">
        <f t="shared" si="8"/>
        <v>0</v>
      </c>
    </row>
    <row r="316" spans="2:8" x14ac:dyDescent="0.35">
      <c r="B316" s="57">
        <v>45455</v>
      </c>
      <c r="C316" s="56">
        <v>11317.95</v>
      </c>
      <c r="D316" s="15">
        <f t="shared" si="9"/>
        <v>-3.1970407556640712E-3</v>
      </c>
      <c r="G316" s="56">
        <v>22904.45</v>
      </c>
      <c r="H316" s="15">
        <f t="shared" si="8"/>
        <v>0</v>
      </c>
    </row>
    <row r="317" spans="2:8" x14ac:dyDescent="0.35">
      <c r="B317" s="57">
        <v>45456</v>
      </c>
      <c r="C317" s="56">
        <v>12846.85</v>
      </c>
      <c r="D317" s="15">
        <f t="shared" si="9"/>
        <v>0.13508630096439722</v>
      </c>
      <c r="G317" s="56">
        <v>22904.45</v>
      </c>
      <c r="H317" s="15">
        <f t="shared" si="8"/>
        <v>0</v>
      </c>
    </row>
    <row r="318" spans="2:8" x14ac:dyDescent="0.35">
      <c r="B318" s="57">
        <v>45457</v>
      </c>
      <c r="C318" s="56">
        <v>12845.2</v>
      </c>
      <c r="D318" s="15">
        <f t="shared" si="9"/>
        <v>-1.2843615360957905E-4</v>
      </c>
      <c r="G318" s="56">
        <v>22904.45</v>
      </c>
      <c r="H318" s="15">
        <f t="shared" si="8"/>
        <v>0</v>
      </c>
    </row>
    <row r="319" spans="2:8" x14ac:dyDescent="0.35">
      <c r="B319" s="57">
        <v>45461</v>
      </c>
      <c r="C319" s="56">
        <v>12560.95</v>
      </c>
      <c r="D319" s="15">
        <f t="shared" si="9"/>
        <v>-2.2128888612088615E-2</v>
      </c>
      <c r="G319" s="56">
        <v>22904.45</v>
      </c>
      <c r="H319" s="15">
        <f t="shared" ref="H319:H382" si="10">G319/G318-1</f>
        <v>0</v>
      </c>
    </row>
    <row r="320" spans="2:8" x14ac:dyDescent="0.35">
      <c r="B320" s="57">
        <v>45462</v>
      </c>
      <c r="C320" s="56">
        <v>12242.1</v>
      </c>
      <c r="D320" s="15">
        <f t="shared" si="9"/>
        <v>-2.5384226511529828E-2</v>
      </c>
      <c r="G320" s="56">
        <v>22904.45</v>
      </c>
      <c r="H320" s="15">
        <f t="shared" si="10"/>
        <v>0</v>
      </c>
    </row>
    <row r="321" spans="2:8" x14ac:dyDescent="0.35">
      <c r="B321" s="57">
        <v>45463</v>
      </c>
      <c r="C321" s="56">
        <v>12149.5</v>
      </c>
      <c r="D321" s="15">
        <f t="shared" si="9"/>
        <v>-7.5640617214367545E-3</v>
      </c>
      <c r="G321" s="56">
        <v>22904.45</v>
      </c>
      <c r="H321" s="15">
        <f t="shared" si="10"/>
        <v>0</v>
      </c>
    </row>
    <row r="322" spans="2:8" x14ac:dyDescent="0.35">
      <c r="B322" s="57">
        <v>45464</v>
      </c>
      <c r="C322" s="56">
        <v>12201.5</v>
      </c>
      <c r="D322" s="15">
        <f t="shared" si="9"/>
        <v>4.2800115231078628E-3</v>
      </c>
      <c r="G322" s="56">
        <v>22904.45</v>
      </c>
      <c r="H322" s="15">
        <f t="shared" si="10"/>
        <v>0</v>
      </c>
    </row>
    <row r="323" spans="2:8" x14ac:dyDescent="0.35">
      <c r="B323" s="57">
        <v>45467</v>
      </c>
      <c r="C323" s="56">
        <v>12183.4</v>
      </c>
      <c r="D323" s="15">
        <f t="shared" si="9"/>
        <v>-1.4834241691595862E-3</v>
      </c>
      <c r="G323" s="56">
        <v>22904.45</v>
      </c>
      <c r="H323" s="15">
        <f t="shared" si="10"/>
        <v>0</v>
      </c>
    </row>
    <row r="324" spans="2:8" x14ac:dyDescent="0.35">
      <c r="B324" s="57">
        <v>45468</v>
      </c>
      <c r="C324" s="56">
        <v>12116.6</v>
      </c>
      <c r="D324" s="15">
        <f t="shared" si="9"/>
        <v>-5.4828701347734432E-3</v>
      </c>
      <c r="G324" s="56">
        <v>22904.45</v>
      </c>
      <c r="H324" s="15">
        <f t="shared" si="10"/>
        <v>0</v>
      </c>
    </row>
    <row r="325" spans="2:8" x14ac:dyDescent="0.35">
      <c r="B325" s="57">
        <v>45469</v>
      </c>
      <c r="C325" s="56">
        <v>12198.25</v>
      </c>
      <c r="D325" s="15">
        <f t="shared" si="9"/>
        <v>6.7386890711915726E-3</v>
      </c>
      <c r="G325" s="56">
        <v>22904.45</v>
      </c>
      <c r="H325" s="15">
        <f t="shared" si="10"/>
        <v>0</v>
      </c>
    </row>
    <row r="326" spans="2:8" x14ac:dyDescent="0.35">
      <c r="B326" s="57">
        <v>45470</v>
      </c>
      <c r="C326" s="56">
        <v>12178.75</v>
      </c>
      <c r="D326" s="15">
        <f t="shared" si="9"/>
        <v>-1.5985899616748345E-3</v>
      </c>
      <c r="G326" s="56">
        <v>22904.45</v>
      </c>
      <c r="H326" s="15">
        <f t="shared" si="10"/>
        <v>0</v>
      </c>
    </row>
    <row r="327" spans="2:8" x14ac:dyDescent="0.35">
      <c r="B327" s="57">
        <v>45471</v>
      </c>
      <c r="C327" s="56">
        <v>12033.85</v>
      </c>
      <c r="D327" s="15">
        <f t="shared" si="9"/>
        <v>-1.1897772759930203E-2</v>
      </c>
      <c r="G327" s="56">
        <v>22904.45</v>
      </c>
      <c r="H327" s="15">
        <f t="shared" si="10"/>
        <v>0</v>
      </c>
    </row>
    <row r="328" spans="2:8" x14ac:dyDescent="0.35">
      <c r="B328" s="57">
        <v>45475</v>
      </c>
      <c r="C328" s="56">
        <v>10935.7</v>
      </c>
      <c r="D328" s="15">
        <f t="shared" si="9"/>
        <v>-9.1255084615480486E-2</v>
      </c>
      <c r="G328" s="56">
        <v>22904.45</v>
      </c>
      <c r="H328" s="15">
        <f t="shared" si="10"/>
        <v>0</v>
      </c>
    </row>
    <row r="329" spans="2:8" x14ac:dyDescent="0.35">
      <c r="B329" s="57">
        <v>45476</v>
      </c>
      <c r="C329" s="56">
        <v>11510.05</v>
      </c>
      <c r="D329" s="15">
        <f t="shared" si="9"/>
        <v>5.2520643397313327E-2</v>
      </c>
      <c r="G329" s="56">
        <v>22904.45</v>
      </c>
      <c r="H329" s="15">
        <f t="shared" si="10"/>
        <v>0</v>
      </c>
    </row>
    <row r="330" spans="2:8" x14ac:dyDescent="0.35">
      <c r="B330" s="57">
        <v>45478</v>
      </c>
      <c r="C330" s="56">
        <v>12364.05</v>
      </c>
      <c r="D330" s="15">
        <f t="shared" si="9"/>
        <v>7.4196028687972593E-2</v>
      </c>
      <c r="G330" s="56">
        <v>22904.45</v>
      </c>
      <c r="H330" s="15">
        <f t="shared" si="10"/>
        <v>0</v>
      </c>
    </row>
    <row r="331" spans="2:8" x14ac:dyDescent="0.35">
      <c r="B331" s="57">
        <v>45479</v>
      </c>
      <c r="C331" s="56">
        <v>12810.9</v>
      </c>
      <c r="D331" s="15">
        <f t="shared" ref="D331:D394" si="11">C331/C330-1</f>
        <v>3.6141070280369281E-2</v>
      </c>
      <c r="G331" s="56">
        <v>22904.45</v>
      </c>
      <c r="H331" s="15">
        <f t="shared" si="10"/>
        <v>0</v>
      </c>
    </row>
    <row r="332" spans="2:8" x14ac:dyDescent="0.35">
      <c r="B332" s="57">
        <v>45481</v>
      </c>
      <c r="C332" s="56">
        <v>12371.5</v>
      </c>
      <c r="D332" s="15">
        <f t="shared" si="11"/>
        <v>-3.4298917328212664E-2</v>
      </c>
      <c r="G332" s="56">
        <v>22904.45</v>
      </c>
      <c r="H332" s="15">
        <f t="shared" si="10"/>
        <v>0</v>
      </c>
    </row>
    <row r="333" spans="2:8" x14ac:dyDescent="0.35">
      <c r="B333" s="57">
        <v>45483</v>
      </c>
      <c r="C333" s="56">
        <v>12527.5</v>
      </c>
      <c r="D333" s="15">
        <f t="shared" si="11"/>
        <v>1.2609626965202292E-2</v>
      </c>
      <c r="G333" s="56">
        <v>22904.45</v>
      </c>
      <c r="H333" s="15">
        <f t="shared" si="10"/>
        <v>0</v>
      </c>
    </row>
    <row r="334" spans="2:8" x14ac:dyDescent="0.35">
      <c r="B334" s="57">
        <v>45484</v>
      </c>
      <c r="C334" s="56">
        <v>11300.15</v>
      </c>
      <c r="D334" s="15">
        <f t="shared" si="11"/>
        <v>-9.7972460586709276E-2</v>
      </c>
      <c r="G334" s="56">
        <v>22904.45</v>
      </c>
      <c r="H334" s="15">
        <f t="shared" si="10"/>
        <v>0</v>
      </c>
    </row>
    <row r="335" spans="2:8" x14ac:dyDescent="0.35">
      <c r="B335" s="57">
        <v>45488</v>
      </c>
      <c r="C335" s="56">
        <v>12643.95</v>
      </c>
      <c r="D335" s="15">
        <f t="shared" si="11"/>
        <v>0.11891877541448581</v>
      </c>
      <c r="G335" s="56">
        <v>22904.45</v>
      </c>
      <c r="H335" s="15">
        <f t="shared" si="10"/>
        <v>0</v>
      </c>
    </row>
    <row r="336" spans="2:8" x14ac:dyDescent="0.35">
      <c r="B336" s="57">
        <v>45489</v>
      </c>
      <c r="C336" s="56">
        <v>12639.55</v>
      </c>
      <c r="D336" s="15">
        <f t="shared" si="11"/>
        <v>-3.4799251816097776E-4</v>
      </c>
      <c r="G336" s="56">
        <v>22904.45</v>
      </c>
      <c r="H336" s="15">
        <f t="shared" si="10"/>
        <v>0</v>
      </c>
    </row>
    <row r="337" spans="2:8" x14ac:dyDescent="0.35">
      <c r="B337" s="57">
        <v>45491</v>
      </c>
      <c r="C337" s="56">
        <v>12644.05</v>
      </c>
      <c r="D337" s="15">
        <f t="shared" si="11"/>
        <v>3.5602533318046525E-4</v>
      </c>
      <c r="G337" s="56">
        <v>22904.45</v>
      </c>
      <c r="H337" s="15">
        <f t="shared" si="10"/>
        <v>0</v>
      </c>
    </row>
    <row r="338" spans="2:8" x14ac:dyDescent="0.35">
      <c r="B338" s="57">
        <v>45492</v>
      </c>
      <c r="C338" s="56">
        <v>12524.3</v>
      </c>
      <c r="D338" s="15">
        <f t="shared" si="11"/>
        <v>-9.4708578343173366E-3</v>
      </c>
      <c r="G338" s="56">
        <v>22904.45</v>
      </c>
      <c r="H338" s="15">
        <f t="shared" si="10"/>
        <v>0</v>
      </c>
    </row>
    <row r="339" spans="2:8" x14ac:dyDescent="0.35">
      <c r="B339" s="57">
        <v>45495</v>
      </c>
      <c r="C339" s="56">
        <v>12641.25</v>
      </c>
      <c r="D339" s="15">
        <f t="shared" si="11"/>
        <v>9.3378472249947553E-3</v>
      </c>
      <c r="G339" s="56">
        <v>22904.45</v>
      </c>
      <c r="H339" s="15">
        <f t="shared" si="10"/>
        <v>0</v>
      </c>
    </row>
    <row r="340" spans="2:8" x14ac:dyDescent="0.35">
      <c r="B340" s="57">
        <v>45496</v>
      </c>
      <c r="C340" s="56">
        <v>12629.05</v>
      </c>
      <c r="D340" s="15">
        <f t="shared" si="11"/>
        <v>-9.6509443290815344E-4</v>
      </c>
      <c r="G340" s="56">
        <v>22904.45</v>
      </c>
      <c r="H340" s="15">
        <f t="shared" si="10"/>
        <v>0</v>
      </c>
    </row>
    <row r="341" spans="2:8" x14ac:dyDescent="0.35">
      <c r="B341" s="57">
        <v>45497</v>
      </c>
      <c r="C341" s="56">
        <v>12487.25</v>
      </c>
      <c r="D341" s="15">
        <f t="shared" si="11"/>
        <v>-1.1228081288774616E-2</v>
      </c>
      <c r="G341" s="56">
        <v>22904.45</v>
      </c>
      <c r="H341" s="15">
        <f t="shared" si="10"/>
        <v>0</v>
      </c>
    </row>
    <row r="342" spans="2:8" x14ac:dyDescent="0.35">
      <c r="B342" s="57">
        <v>45498</v>
      </c>
      <c r="C342" s="56">
        <v>12509.2</v>
      </c>
      <c r="D342" s="15">
        <f t="shared" si="11"/>
        <v>1.7577929488077348E-3</v>
      </c>
      <c r="G342" s="56">
        <v>22904.45</v>
      </c>
      <c r="H342" s="15">
        <f t="shared" si="10"/>
        <v>0</v>
      </c>
    </row>
    <row r="343" spans="2:8" x14ac:dyDescent="0.35">
      <c r="B343" s="57">
        <v>45499</v>
      </c>
      <c r="C343" s="56">
        <v>12663.7</v>
      </c>
      <c r="D343" s="15">
        <f t="shared" si="11"/>
        <v>1.2350909730438397E-2</v>
      </c>
      <c r="G343" s="56">
        <v>22904.45</v>
      </c>
      <c r="H343" s="15">
        <f t="shared" si="10"/>
        <v>0</v>
      </c>
    </row>
    <row r="344" spans="2:8" x14ac:dyDescent="0.35">
      <c r="B344" s="57">
        <v>45502</v>
      </c>
      <c r="C344" s="56">
        <v>12751.55</v>
      </c>
      <c r="D344" s="15">
        <f t="shared" si="11"/>
        <v>6.9371510695925842E-3</v>
      </c>
      <c r="G344" s="56">
        <v>22904.45</v>
      </c>
      <c r="H344" s="15">
        <f t="shared" si="10"/>
        <v>0</v>
      </c>
    </row>
    <row r="345" spans="2:8" x14ac:dyDescent="0.35">
      <c r="B345" s="57">
        <v>45503</v>
      </c>
      <c r="C345" s="56">
        <v>12873.65</v>
      </c>
      <c r="D345" s="15">
        <f t="shared" si="11"/>
        <v>9.5753065313628483E-3</v>
      </c>
      <c r="G345" s="56">
        <v>22904.45</v>
      </c>
      <c r="H345" s="15">
        <f t="shared" si="10"/>
        <v>0</v>
      </c>
    </row>
    <row r="346" spans="2:8" x14ac:dyDescent="0.35">
      <c r="B346" s="57">
        <v>45504</v>
      </c>
      <c r="C346" s="56">
        <v>13115.8</v>
      </c>
      <c r="D346" s="15">
        <f t="shared" si="11"/>
        <v>1.8809739273632609E-2</v>
      </c>
      <c r="G346" s="56">
        <v>22904.45</v>
      </c>
      <c r="H346" s="15">
        <f t="shared" si="10"/>
        <v>0</v>
      </c>
    </row>
    <row r="347" spans="2:8" x14ac:dyDescent="0.35">
      <c r="B347" s="57">
        <v>45505</v>
      </c>
      <c r="C347" s="56">
        <v>9946.7000000000007</v>
      </c>
      <c r="D347" s="15">
        <f t="shared" si="11"/>
        <v>-0.24162460543771624</v>
      </c>
      <c r="G347" s="56">
        <v>22904.45</v>
      </c>
      <c r="H347" s="15">
        <f t="shared" si="10"/>
        <v>0</v>
      </c>
    </row>
    <row r="348" spans="2:8" x14ac:dyDescent="0.35">
      <c r="B348" s="57">
        <v>45506</v>
      </c>
      <c r="C348" s="56">
        <v>10743.9</v>
      </c>
      <c r="D348" s="15">
        <f t="shared" si="11"/>
        <v>8.0147184493349455E-2</v>
      </c>
      <c r="G348" s="56">
        <v>22904.45</v>
      </c>
      <c r="H348" s="15">
        <f t="shared" si="10"/>
        <v>0</v>
      </c>
    </row>
    <row r="349" spans="2:8" x14ac:dyDescent="0.35">
      <c r="B349" s="57">
        <v>45508</v>
      </c>
      <c r="C349" s="56">
        <v>12865.1</v>
      </c>
      <c r="D349" s="15">
        <f t="shared" si="11"/>
        <v>0.19743296195980986</v>
      </c>
      <c r="G349" s="56">
        <v>22904.45</v>
      </c>
      <c r="H349" s="15">
        <f t="shared" si="10"/>
        <v>0</v>
      </c>
    </row>
    <row r="350" spans="2:8" x14ac:dyDescent="0.35">
      <c r="B350" s="57">
        <v>45509</v>
      </c>
      <c r="C350" s="56">
        <v>12543.55</v>
      </c>
      <c r="D350" s="15">
        <f t="shared" si="11"/>
        <v>-2.4993975950439618E-2</v>
      </c>
      <c r="G350" s="56">
        <v>22904.45</v>
      </c>
      <c r="H350" s="15">
        <f t="shared" si="10"/>
        <v>0</v>
      </c>
    </row>
    <row r="351" spans="2:8" x14ac:dyDescent="0.35">
      <c r="B351" s="57">
        <v>45511</v>
      </c>
      <c r="C351" s="56">
        <v>12023.6</v>
      </c>
      <c r="D351" s="15">
        <f t="shared" si="11"/>
        <v>-4.1451582685922195E-2</v>
      </c>
      <c r="G351" s="56">
        <v>22904.45</v>
      </c>
      <c r="H351" s="15">
        <f t="shared" si="10"/>
        <v>0</v>
      </c>
    </row>
    <row r="352" spans="2:8" x14ac:dyDescent="0.35">
      <c r="B352" s="57">
        <v>45512</v>
      </c>
      <c r="C352" s="56">
        <v>12218.85</v>
      </c>
      <c r="D352" s="15">
        <f t="shared" si="11"/>
        <v>1.623889683622215E-2</v>
      </c>
      <c r="G352" s="56">
        <v>22904.45</v>
      </c>
      <c r="H352" s="15">
        <f t="shared" si="10"/>
        <v>0</v>
      </c>
    </row>
    <row r="353" spans="2:8" x14ac:dyDescent="0.35">
      <c r="B353" s="57">
        <v>45514</v>
      </c>
      <c r="C353" s="56">
        <v>12531.95</v>
      </c>
      <c r="D353" s="15">
        <f t="shared" si="11"/>
        <v>2.5624342716376702E-2</v>
      </c>
      <c r="G353" s="56">
        <v>22904.45</v>
      </c>
      <c r="H353" s="15">
        <f t="shared" si="10"/>
        <v>0</v>
      </c>
    </row>
    <row r="354" spans="2:8" x14ac:dyDescent="0.35">
      <c r="B354" s="57">
        <v>45515</v>
      </c>
      <c r="C354" s="56">
        <v>11303</v>
      </c>
      <c r="D354" s="15">
        <f t="shared" si="11"/>
        <v>-9.8065344978235713E-2</v>
      </c>
      <c r="G354" s="56">
        <v>22904.45</v>
      </c>
      <c r="H354" s="15">
        <f t="shared" si="10"/>
        <v>0</v>
      </c>
    </row>
    <row r="355" spans="2:8" x14ac:dyDescent="0.35">
      <c r="B355" s="57">
        <v>45517</v>
      </c>
      <c r="C355" s="56">
        <v>12176.25</v>
      </c>
      <c r="D355" s="15">
        <f t="shared" si="11"/>
        <v>7.7258250022117947E-2</v>
      </c>
      <c r="G355" s="56">
        <v>22904.45</v>
      </c>
      <c r="H355" s="15">
        <f t="shared" si="10"/>
        <v>0</v>
      </c>
    </row>
    <row r="356" spans="2:8" x14ac:dyDescent="0.35">
      <c r="B356" s="57">
        <v>45518</v>
      </c>
      <c r="C356" s="56">
        <v>12205.65</v>
      </c>
      <c r="D356" s="15">
        <f t="shared" si="11"/>
        <v>2.4145364952263826E-3</v>
      </c>
      <c r="G356" s="56">
        <v>22904.45</v>
      </c>
      <c r="H356" s="15">
        <f t="shared" si="10"/>
        <v>0</v>
      </c>
    </row>
    <row r="357" spans="2:8" x14ac:dyDescent="0.35">
      <c r="B357" s="57">
        <v>45520</v>
      </c>
      <c r="C357" s="56">
        <v>12213.3</v>
      </c>
      <c r="D357" s="15">
        <f t="shared" si="11"/>
        <v>6.2675891902519432E-4</v>
      </c>
      <c r="G357" s="56">
        <v>22904.45</v>
      </c>
      <c r="H357" s="15">
        <f t="shared" si="10"/>
        <v>0</v>
      </c>
    </row>
    <row r="358" spans="2:8" x14ac:dyDescent="0.35">
      <c r="B358" s="57">
        <v>45523</v>
      </c>
      <c r="C358" s="56">
        <v>12149.8</v>
      </c>
      <c r="D358" s="15">
        <f t="shared" si="11"/>
        <v>-5.1992499979530704E-3</v>
      </c>
      <c r="G358" s="56">
        <v>22904.45</v>
      </c>
      <c r="H358" s="15">
        <f t="shared" si="10"/>
        <v>0</v>
      </c>
    </row>
    <row r="359" spans="2:8" x14ac:dyDescent="0.35">
      <c r="B359" s="57">
        <v>45524</v>
      </c>
      <c r="C359" s="56">
        <v>12214.95</v>
      </c>
      <c r="D359" s="15">
        <f t="shared" si="11"/>
        <v>5.3622281848262343E-3</v>
      </c>
      <c r="G359" s="56">
        <v>22904.45</v>
      </c>
      <c r="H359" s="15">
        <f t="shared" si="10"/>
        <v>0</v>
      </c>
    </row>
    <row r="360" spans="2:8" x14ac:dyDescent="0.35">
      <c r="B360" s="57">
        <v>45525</v>
      </c>
      <c r="C360" s="56">
        <v>12220.95</v>
      </c>
      <c r="D360" s="15">
        <f t="shared" si="11"/>
        <v>4.912013557156758E-4</v>
      </c>
      <c r="G360" s="56">
        <v>22904.45</v>
      </c>
      <c r="H360" s="15">
        <f t="shared" si="10"/>
        <v>0</v>
      </c>
    </row>
    <row r="361" spans="2:8" x14ac:dyDescent="0.35">
      <c r="B361" s="57">
        <v>45526</v>
      </c>
      <c r="C361" s="56">
        <v>12276.35</v>
      </c>
      <c r="D361" s="15">
        <f t="shared" si="11"/>
        <v>4.533199137546573E-3</v>
      </c>
      <c r="G361" s="56">
        <v>22904.45</v>
      </c>
      <c r="H361" s="15">
        <f t="shared" si="10"/>
        <v>0</v>
      </c>
    </row>
    <row r="362" spans="2:8" x14ac:dyDescent="0.35">
      <c r="B362" s="57">
        <v>45527</v>
      </c>
      <c r="C362" s="56">
        <v>12302.3</v>
      </c>
      <c r="D362" s="15">
        <f t="shared" si="11"/>
        <v>2.1138204759556523E-3</v>
      </c>
      <c r="G362" s="56">
        <v>22904.45</v>
      </c>
      <c r="H362" s="15">
        <f t="shared" si="10"/>
        <v>0</v>
      </c>
    </row>
    <row r="363" spans="2:8" x14ac:dyDescent="0.35">
      <c r="B363" s="57">
        <v>45530</v>
      </c>
      <c r="C363" s="56">
        <v>12243.8</v>
      </c>
      <c r="D363" s="15">
        <f t="shared" si="11"/>
        <v>-4.7552083756695618E-3</v>
      </c>
      <c r="G363" s="56">
        <v>22904.45</v>
      </c>
      <c r="H363" s="15">
        <f t="shared" si="10"/>
        <v>0</v>
      </c>
    </row>
    <row r="364" spans="2:8" x14ac:dyDescent="0.35">
      <c r="B364" s="57">
        <v>45531</v>
      </c>
      <c r="C364" s="56">
        <v>12496.9</v>
      </c>
      <c r="D364" s="15">
        <f t="shared" si="11"/>
        <v>2.0671686894591534E-2</v>
      </c>
      <c r="G364" s="56">
        <v>22904.45</v>
      </c>
      <c r="H364" s="15">
        <f t="shared" si="10"/>
        <v>0</v>
      </c>
    </row>
    <row r="365" spans="2:8" x14ac:dyDescent="0.35">
      <c r="B365" s="57">
        <v>45532</v>
      </c>
      <c r="C365" s="56">
        <v>12357.5</v>
      </c>
      <c r="D365" s="15">
        <f t="shared" si="11"/>
        <v>-1.1154766382062697E-2</v>
      </c>
      <c r="G365" s="56">
        <v>22904.45</v>
      </c>
      <c r="H365" s="15">
        <f t="shared" si="10"/>
        <v>0</v>
      </c>
    </row>
    <row r="366" spans="2:8" x14ac:dyDescent="0.35">
      <c r="B366" s="57">
        <v>45533</v>
      </c>
      <c r="C366" s="56">
        <v>12453.8</v>
      </c>
      <c r="D366" s="15">
        <f t="shared" si="11"/>
        <v>7.7928383572729576E-3</v>
      </c>
      <c r="G366" s="56">
        <v>22904.45</v>
      </c>
      <c r="H366" s="15">
        <f t="shared" si="10"/>
        <v>0</v>
      </c>
    </row>
    <row r="367" spans="2:8" x14ac:dyDescent="0.35">
      <c r="B367" s="57">
        <v>45534</v>
      </c>
      <c r="C367" s="56">
        <v>12403</v>
      </c>
      <c r="D367" s="15">
        <f t="shared" si="11"/>
        <v>-4.0790762658786672E-3</v>
      </c>
      <c r="G367" s="56">
        <v>22904.45</v>
      </c>
      <c r="H367" s="15">
        <f t="shared" si="10"/>
        <v>0</v>
      </c>
    </row>
    <row r="368" spans="2:8" x14ac:dyDescent="0.35">
      <c r="B368" s="57">
        <v>45536</v>
      </c>
      <c r="C368" s="56">
        <v>10024.1</v>
      </c>
      <c r="D368" s="15">
        <f t="shared" si="11"/>
        <v>-0.19180037087801338</v>
      </c>
      <c r="G368" s="56">
        <v>22904.45</v>
      </c>
      <c r="H368" s="15">
        <f t="shared" si="10"/>
        <v>0</v>
      </c>
    </row>
    <row r="369" spans="2:8" x14ac:dyDescent="0.35">
      <c r="B369" s="57">
        <v>45537</v>
      </c>
      <c r="C369" s="56">
        <v>10732.85</v>
      </c>
      <c r="D369" s="15">
        <f t="shared" si="11"/>
        <v>7.0704601909398423E-2</v>
      </c>
      <c r="G369" s="56">
        <v>22904.45</v>
      </c>
      <c r="H369" s="15">
        <f t="shared" si="10"/>
        <v>0</v>
      </c>
    </row>
    <row r="370" spans="2:8" x14ac:dyDescent="0.35">
      <c r="B370" s="57">
        <v>45539</v>
      </c>
      <c r="C370" s="56">
        <v>12888</v>
      </c>
      <c r="D370" s="15">
        <f t="shared" si="11"/>
        <v>0.2007994148804837</v>
      </c>
      <c r="G370" s="56">
        <v>22904.45</v>
      </c>
      <c r="H370" s="15">
        <f t="shared" si="10"/>
        <v>0</v>
      </c>
    </row>
    <row r="371" spans="2:8" x14ac:dyDescent="0.35">
      <c r="B371" s="57">
        <v>45540</v>
      </c>
      <c r="C371" s="56">
        <v>12504.65</v>
      </c>
      <c r="D371" s="15">
        <f t="shared" si="11"/>
        <v>-2.9744723774053461E-2</v>
      </c>
      <c r="G371" s="56">
        <v>22904.45</v>
      </c>
      <c r="H371" s="15">
        <f t="shared" si="10"/>
        <v>0</v>
      </c>
    </row>
    <row r="372" spans="2:8" x14ac:dyDescent="0.35">
      <c r="B372" s="57">
        <v>45542</v>
      </c>
      <c r="C372" s="56">
        <v>12827.7</v>
      </c>
      <c r="D372" s="15">
        <f t="shared" si="11"/>
        <v>2.5834389607066299E-2</v>
      </c>
      <c r="G372" s="56">
        <v>22904.45</v>
      </c>
      <c r="H372" s="15">
        <f t="shared" si="10"/>
        <v>0</v>
      </c>
    </row>
    <row r="373" spans="2:8" x14ac:dyDescent="0.35">
      <c r="B373" s="57">
        <v>45543</v>
      </c>
      <c r="C373" s="56">
        <v>12224.2</v>
      </c>
      <c r="D373" s="15">
        <f t="shared" si="11"/>
        <v>-4.7046625661654073E-2</v>
      </c>
      <c r="G373" s="56">
        <v>22904.45</v>
      </c>
      <c r="H373" s="15">
        <f t="shared" si="10"/>
        <v>0</v>
      </c>
    </row>
    <row r="374" spans="2:8" x14ac:dyDescent="0.35">
      <c r="B374" s="57">
        <v>45544</v>
      </c>
      <c r="C374" s="56">
        <v>12145.75</v>
      </c>
      <c r="D374" s="15">
        <f t="shared" si="11"/>
        <v>-6.4175978796159328E-3</v>
      </c>
      <c r="G374" s="56">
        <v>22904.45</v>
      </c>
      <c r="H374" s="15">
        <f t="shared" si="10"/>
        <v>0</v>
      </c>
    </row>
    <row r="375" spans="2:8" x14ac:dyDescent="0.35">
      <c r="B375" s="57">
        <v>45545</v>
      </c>
      <c r="C375" s="56">
        <v>12760.7</v>
      </c>
      <c r="D375" s="15">
        <f t="shared" si="11"/>
        <v>5.0630879114093474E-2</v>
      </c>
      <c r="G375" s="56">
        <v>22904.45</v>
      </c>
      <c r="H375" s="15">
        <f t="shared" si="10"/>
        <v>0</v>
      </c>
    </row>
    <row r="376" spans="2:8" x14ac:dyDescent="0.35">
      <c r="B376" s="57">
        <v>45547</v>
      </c>
      <c r="C376" s="56">
        <v>11279.8</v>
      </c>
      <c r="D376" s="15">
        <f t="shared" si="11"/>
        <v>-0.11605162726182738</v>
      </c>
      <c r="G376" s="56">
        <v>22904.45</v>
      </c>
      <c r="H376" s="15">
        <f t="shared" si="10"/>
        <v>0</v>
      </c>
    </row>
    <row r="377" spans="2:8" x14ac:dyDescent="0.35">
      <c r="B377" s="57">
        <v>45548</v>
      </c>
      <c r="C377" s="56">
        <v>12316.05</v>
      </c>
      <c r="D377" s="15">
        <f t="shared" si="11"/>
        <v>9.186776361283E-2</v>
      </c>
      <c r="G377" s="56">
        <v>22904.45</v>
      </c>
      <c r="H377" s="15">
        <f t="shared" si="10"/>
        <v>0</v>
      </c>
    </row>
    <row r="378" spans="2:8" x14ac:dyDescent="0.35">
      <c r="B378" s="57">
        <v>45551</v>
      </c>
      <c r="C378" s="56">
        <v>12289</v>
      </c>
      <c r="D378" s="15">
        <f t="shared" si="11"/>
        <v>-2.1963210607296446E-3</v>
      </c>
      <c r="G378" s="56">
        <v>22904.45</v>
      </c>
      <c r="H378" s="15">
        <f t="shared" si="10"/>
        <v>0</v>
      </c>
    </row>
    <row r="379" spans="2:8" x14ac:dyDescent="0.35">
      <c r="B379" s="57">
        <v>45552</v>
      </c>
      <c r="C379" s="56">
        <v>12245.75</v>
      </c>
      <c r="D379" s="15">
        <f t="shared" si="11"/>
        <v>-3.5194076002929009E-3</v>
      </c>
      <c r="G379" s="56">
        <v>22904.45</v>
      </c>
      <c r="H379" s="15">
        <f t="shared" si="10"/>
        <v>0</v>
      </c>
    </row>
    <row r="380" spans="2:8" x14ac:dyDescent="0.35">
      <c r="B380" s="57">
        <v>45553</v>
      </c>
      <c r="C380" s="56">
        <v>12204.1</v>
      </c>
      <c r="D380" s="15">
        <f t="shared" si="11"/>
        <v>-3.4011800012249127E-3</v>
      </c>
      <c r="G380" s="56">
        <v>22904.45</v>
      </c>
      <c r="H380" s="15">
        <f t="shared" si="10"/>
        <v>0</v>
      </c>
    </row>
    <row r="381" spans="2:8" x14ac:dyDescent="0.35">
      <c r="B381" s="57">
        <v>45554</v>
      </c>
      <c r="C381" s="56">
        <v>12351.5</v>
      </c>
      <c r="D381" s="15">
        <f t="shared" si="11"/>
        <v>1.207790824395083E-2</v>
      </c>
      <c r="G381" s="56">
        <v>22904.45</v>
      </c>
      <c r="H381" s="15">
        <f t="shared" si="10"/>
        <v>0</v>
      </c>
    </row>
    <row r="382" spans="2:8" x14ac:dyDescent="0.35">
      <c r="B382" s="57">
        <v>45555</v>
      </c>
      <c r="C382" s="56">
        <v>12614.5</v>
      </c>
      <c r="D382" s="15">
        <f t="shared" si="11"/>
        <v>2.129296036918582E-2</v>
      </c>
      <c r="G382" s="56">
        <v>22904.45</v>
      </c>
      <c r="H382" s="15">
        <f t="shared" si="10"/>
        <v>0</v>
      </c>
    </row>
    <row r="383" spans="2:8" x14ac:dyDescent="0.35">
      <c r="B383" s="57">
        <v>45558</v>
      </c>
      <c r="C383" s="56">
        <v>12683.1</v>
      </c>
      <c r="D383" s="15">
        <f t="shared" si="11"/>
        <v>5.4381862142771631E-3</v>
      </c>
      <c r="G383" s="56">
        <v>22904.45</v>
      </c>
      <c r="H383" s="15">
        <f t="shared" ref="H383:H446" si="12">G383/G382-1</f>
        <v>0</v>
      </c>
    </row>
    <row r="384" spans="2:8" x14ac:dyDescent="0.35">
      <c r="B384" s="57">
        <v>45559</v>
      </c>
      <c r="C384" s="56">
        <v>12738.6</v>
      </c>
      <c r="D384" s="15">
        <f t="shared" si="11"/>
        <v>4.3759017905717901E-3</v>
      </c>
      <c r="G384" s="56">
        <v>22904.45</v>
      </c>
      <c r="H384" s="15">
        <f t="shared" si="12"/>
        <v>0</v>
      </c>
    </row>
    <row r="385" spans="2:8" x14ac:dyDescent="0.35">
      <c r="B385" s="57">
        <v>45560</v>
      </c>
      <c r="C385" s="56">
        <v>12785.3</v>
      </c>
      <c r="D385" s="15">
        <f t="shared" si="11"/>
        <v>3.6660229538567624E-3</v>
      </c>
      <c r="G385" s="56">
        <v>22904.45</v>
      </c>
      <c r="H385" s="15">
        <f t="shared" si="12"/>
        <v>0</v>
      </c>
    </row>
    <row r="386" spans="2:8" x14ac:dyDescent="0.35">
      <c r="B386" s="57">
        <v>45561</v>
      </c>
      <c r="C386" s="56">
        <v>13383.8</v>
      </c>
      <c r="D386" s="15">
        <f t="shared" si="11"/>
        <v>4.681157266548297E-2</v>
      </c>
      <c r="G386" s="56">
        <v>22904.45</v>
      </c>
      <c r="H386" s="15">
        <f t="shared" si="12"/>
        <v>0</v>
      </c>
    </row>
    <row r="387" spans="2:8" x14ac:dyDescent="0.35">
      <c r="B387" s="57">
        <v>45562</v>
      </c>
      <c r="C387" s="56">
        <v>13495.6</v>
      </c>
      <c r="D387" s="15">
        <f t="shared" si="11"/>
        <v>8.3533824474364415E-3</v>
      </c>
      <c r="G387" s="56">
        <v>22904.45</v>
      </c>
      <c r="H387" s="15">
        <f t="shared" si="12"/>
        <v>0</v>
      </c>
    </row>
    <row r="388" spans="2:8" x14ac:dyDescent="0.35">
      <c r="B388" s="57">
        <v>45565</v>
      </c>
      <c r="C388" s="56">
        <v>13238</v>
      </c>
      <c r="D388" s="15">
        <f t="shared" si="11"/>
        <v>-1.9087702658644345E-2</v>
      </c>
      <c r="G388" s="56">
        <v>22904.45</v>
      </c>
      <c r="H388" s="15">
        <f t="shared" si="12"/>
        <v>0</v>
      </c>
    </row>
    <row r="389" spans="2:8" x14ac:dyDescent="0.35">
      <c r="B389" s="57">
        <v>45566</v>
      </c>
      <c r="C389" s="56">
        <v>10010.200000000001</v>
      </c>
      <c r="D389" s="15">
        <f t="shared" si="11"/>
        <v>-0.24382837286599179</v>
      </c>
      <c r="G389" s="56">
        <v>22904.45</v>
      </c>
      <c r="H389" s="15">
        <f t="shared" si="12"/>
        <v>0</v>
      </c>
    </row>
    <row r="390" spans="2:8" x14ac:dyDescent="0.35">
      <c r="B390" s="57">
        <v>45569</v>
      </c>
      <c r="C390" s="56">
        <v>12682.75</v>
      </c>
      <c r="D390" s="15">
        <f t="shared" si="11"/>
        <v>0.26698267766877781</v>
      </c>
      <c r="G390" s="56">
        <v>22904.45</v>
      </c>
      <c r="H390" s="15">
        <f t="shared" si="12"/>
        <v>0</v>
      </c>
    </row>
    <row r="391" spans="2:8" x14ac:dyDescent="0.35">
      <c r="B391" s="57">
        <v>45570</v>
      </c>
      <c r="C391" s="56">
        <v>12675.5</v>
      </c>
      <c r="D391" s="15">
        <f t="shared" si="11"/>
        <v>-5.7164258540143287E-4</v>
      </c>
      <c r="G391" s="56">
        <v>22904.45</v>
      </c>
      <c r="H391" s="15">
        <f t="shared" si="12"/>
        <v>0</v>
      </c>
    </row>
    <row r="392" spans="2:8" x14ac:dyDescent="0.35">
      <c r="B392" s="57">
        <v>45571</v>
      </c>
      <c r="C392" s="56">
        <v>12717.55</v>
      </c>
      <c r="D392" s="15">
        <f t="shared" si="11"/>
        <v>3.317423375803763E-3</v>
      </c>
      <c r="G392" s="56">
        <v>22904.45</v>
      </c>
      <c r="H392" s="15">
        <f t="shared" si="12"/>
        <v>0</v>
      </c>
    </row>
    <row r="393" spans="2:8" x14ac:dyDescent="0.35">
      <c r="B393" s="57">
        <v>45572</v>
      </c>
      <c r="C393" s="56">
        <v>12772.8</v>
      </c>
      <c r="D393" s="15">
        <f t="shared" si="11"/>
        <v>4.344390232395412E-3</v>
      </c>
      <c r="G393" s="56">
        <v>22904.45</v>
      </c>
      <c r="H393" s="15">
        <f t="shared" si="12"/>
        <v>0</v>
      </c>
    </row>
    <row r="394" spans="2:8" x14ac:dyDescent="0.35">
      <c r="B394" s="57">
        <v>45574</v>
      </c>
      <c r="C394" s="56">
        <v>12263.4</v>
      </c>
      <c r="D394" s="15">
        <f t="shared" si="11"/>
        <v>-3.9881623449830816E-2</v>
      </c>
      <c r="G394" s="56">
        <v>22904.45</v>
      </c>
      <c r="H394" s="15">
        <f t="shared" si="12"/>
        <v>0</v>
      </c>
    </row>
    <row r="395" spans="2:8" x14ac:dyDescent="0.35">
      <c r="B395" s="57">
        <v>45575</v>
      </c>
      <c r="C395" s="56">
        <v>12944.1</v>
      </c>
      <c r="D395" s="15">
        <f t="shared" ref="D395:D458" si="13">C395/C394-1</f>
        <v>5.5506629482851455E-2</v>
      </c>
      <c r="G395" s="56">
        <v>22904.45</v>
      </c>
      <c r="H395" s="15">
        <f t="shared" si="12"/>
        <v>0</v>
      </c>
    </row>
    <row r="396" spans="2:8" x14ac:dyDescent="0.35">
      <c r="B396" s="57">
        <v>45577</v>
      </c>
      <c r="C396" s="56">
        <v>11198.2</v>
      </c>
      <c r="D396" s="15">
        <f t="shared" si="13"/>
        <v>-0.13487998393090284</v>
      </c>
      <c r="G396" s="56">
        <v>22904.45</v>
      </c>
      <c r="H396" s="15">
        <f t="shared" si="12"/>
        <v>0</v>
      </c>
    </row>
    <row r="397" spans="2:8" x14ac:dyDescent="0.35">
      <c r="B397" s="57">
        <v>45579</v>
      </c>
      <c r="C397" s="56">
        <v>12537.85</v>
      </c>
      <c r="D397" s="15">
        <f t="shared" si="13"/>
        <v>0.1196308335268168</v>
      </c>
      <c r="G397" s="56">
        <v>22904.45</v>
      </c>
      <c r="H397" s="15">
        <f t="shared" si="12"/>
        <v>0</v>
      </c>
    </row>
    <row r="398" spans="2:8" x14ac:dyDescent="0.35">
      <c r="B398" s="57">
        <v>45580</v>
      </c>
      <c r="C398" s="56">
        <v>12446.75</v>
      </c>
      <c r="D398" s="15">
        <f t="shared" si="13"/>
        <v>-7.2659985563713336E-3</v>
      </c>
      <c r="G398" s="56">
        <v>22904.45</v>
      </c>
      <c r="H398" s="15">
        <f t="shared" si="12"/>
        <v>0</v>
      </c>
    </row>
    <row r="399" spans="2:8" x14ac:dyDescent="0.35">
      <c r="B399" s="57">
        <v>45581</v>
      </c>
      <c r="C399" s="56">
        <v>12383.9</v>
      </c>
      <c r="D399" s="15">
        <f t="shared" si="13"/>
        <v>-5.0495109165042962E-3</v>
      </c>
      <c r="G399" s="56">
        <v>22904.45</v>
      </c>
      <c r="H399" s="15">
        <f t="shared" si="12"/>
        <v>0</v>
      </c>
    </row>
    <row r="400" spans="2:8" x14ac:dyDescent="0.35">
      <c r="B400" s="57">
        <v>45582</v>
      </c>
      <c r="C400" s="56">
        <v>12143.75</v>
      </c>
      <c r="D400" s="15">
        <f t="shared" si="13"/>
        <v>-1.9392113954408541E-2</v>
      </c>
      <c r="G400" s="56">
        <v>22904.45</v>
      </c>
      <c r="H400" s="15">
        <f t="shared" si="12"/>
        <v>0</v>
      </c>
    </row>
    <row r="401" spans="2:8" x14ac:dyDescent="0.35">
      <c r="B401" s="57">
        <v>45583</v>
      </c>
      <c r="C401" s="56">
        <v>12105.1</v>
      </c>
      <c r="D401" s="15">
        <f t="shared" si="13"/>
        <v>-3.1827071538856888E-3</v>
      </c>
      <c r="G401" s="56">
        <v>22904.45</v>
      </c>
      <c r="H401" s="15">
        <f t="shared" si="12"/>
        <v>0</v>
      </c>
    </row>
    <row r="402" spans="2:8" x14ac:dyDescent="0.35">
      <c r="B402" s="57">
        <v>45586</v>
      </c>
      <c r="C402" s="56">
        <v>12175.9</v>
      </c>
      <c r="D402" s="15">
        <f t="shared" si="13"/>
        <v>5.8487744834820887E-3</v>
      </c>
      <c r="G402" s="56">
        <v>22904.45</v>
      </c>
      <c r="H402" s="15">
        <f t="shared" si="12"/>
        <v>0</v>
      </c>
    </row>
    <row r="403" spans="2:8" x14ac:dyDescent="0.35">
      <c r="B403" s="57">
        <v>45587</v>
      </c>
      <c r="C403" s="56">
        <v>11923.3</v>
      </c>
      <c r="D403" s="15">
        <f t="shared" si="13"/>
        <v>-2.0745899687086844E-2</v>
      </c>
      <c r="G403" s="56">
        <v>22904.45</v>
      </c>
      <c r="H403" s="15">
        <f t="shared" si="12"/>
        <v>0</v>
      </c>
    </row>
    <row r="404" spans="2:8" x14ac:dyDescent="0.35">
      <c r="B404" s="57">
        <v>45588</v>
      </c>
      <c r="C404" s="56">
        <v>11956.2</v>
      </c>
      <c r="D404" s="15">
        <f t="shared" si="13"/>
        <v>2.7593032130368567E-3</v>
      </c>
      <c r="G404" s="56">
        <v>22904.45</v>
      </c>
      <c r="H404" s="15">
        <f t="shared" si="12"/>
        <v>0</v>
      </c>
    </row>
    <row r="405" spans="2:8" x14ac:dyDescent="0.35">
      <c r="B405" s="57">
        <v>45589</v>
      </c>
      <c r="C405" s="56">
        <v>11763.7</v>
      </c>
      <c r="D405" s="15">
        <f t="shared" si="13"/>
        <v>-1.6100433248021906E-2</v>
      </c>
      <c r="G405" s="56">
        <v>22904.45</v>
      </c>
      <c r="H405" s="15">
        <f t="shared" si="12"/>
        <v>0</v>
      </c>
    </row>
    <row r="406" spans="2:8" x14ac:dyDescent="0.35">
      <c r="B406" s="57">
        <v>45590</v>
      </c>
      <c r="C406" s="56">
        <v>11502.85</v>
      </c>
      <c r="D406" s="15">
        <f t="shared" si="13"/>
        <v>-2.2174145889473529E-2</v>
      </c>
      <c r="G406" s="56">
        <v>22904.45</v>
      </c>
      <c r="H406" s="15">
        <f t="shared" si="12"/>
        <v>0</v>
      </c>
    </row>
    <row r="407" spans="2:8" x14ac:dyDescent="0.35">
      <c r="B407" s="57">
        <v>45593</v>
      </c>
      <c r="C407" s="56">
        <v>11483.25</v>
      </c>
      <c r="D407" s="15">
        <f t="shared" si="13"/>
        <v>-1.7039255488857652E-3</v>
      </c>
      <c r="G407" s="56">
        <v>22904.45</v>
      </c>
      <c r="H407" s="15">
        <f t="shared" si="12"/>
        <v>0</v>
      </c>
    </row>
    <row r="408" spans="2:8" x14ac:dyDescent="0.35">
      <c r="B408" s="57">
        <v>45594</v>
      </c>
      <c r="C408" s="56">
        <v>11046</v>
      </c>
      <c r="D408" s="15">
        <f t="shared" si="13"/>
        <v>-3.8077199399124795E-2</v>
      </c>
      <c r="G408" s="56">
        <v>22904.45</v>
      </c>
      <c r="H408" s="15">
        <f t="shared" si="12"/>
        <v>0</v>
      </c>
    </row>
    <row r="409" spans="2:8" x14ac:dyDescent="0.35">
      <c r="B409" s="57">
        <v>45595</v>
      </c>
      <c r="C409" s="56">
        <v>11256.45</v>
      </c>
      <c r="D409" s="15">
        <f t="shared" si="13"/>
        <v>1.9052145573058121E-2</v>
      </c>
      <c r="G409" s="56">
        <v>22904.45</v>
      </c>
      <c r="H409" s="15">
        <f t="shared" si="12"/>
        <v>0</v>
      </c>
    </row>
    <row r="410" spans="2:8" x14ac:dyDescent="0.35">
      <c r="B410" s="57">
        <v>45596</v>
      </c>
      <c r="C410" s="56">
        <v>11076.45</v>
      </c>
      <c r="D410" s="15">
        <f t="shared" si="13"/>
        <v>-1.5990831923030746E-2</v>
      </c>
      <c r="G410" s="56">
        <v>22904.45</v>
      </c>
      <c r="H410" s="15">
        <f t="shared" si="12"/>
        <v>0</v>
      </c>
    </row>
    <row r="411" spans="2:8" x14ac:dyDescent="0.35">
      <c r="B411" s="57">
        <v>45597</v>
      </c>
      <c r="C411" s="56">
        <v>10011.1</v>
      </c>
      <c r="D411" s="15">
        <f t="shared" si="13"/>
        <v>-9.61815383087542E-2</v>
      </c>
      <c r="G411" s="56">
        <v>22904.45</v>
      </c>
      <c r="H411" s="15">
        <f t="shared" si="12"/>
        <v>0</v>
      </c>
    </row>
    <row r="412" spans="2:8" x14ac:dyDescent="0.35">
      <c r="B412" s="57">
        <v>45599</v>
      </c>
      <c r="C412" s="56">
        <v>11395.55</v>
      </c>
      <c r="D412" s="15">
        <f t="shared" si="13"/>
        <v>0.13829149643895255</v>
      </c>
      <c r="G412" s="56">
        <v>22904.45</v>
      </c>
      <c r="H412" s="15">
        <f t="shared" si="12"/>
        <v>0</v>
      </c>
    </row>
    <row r="413" spans="2:8" x14ac:dyDescent="0.35">
      <c r="B413" s="57">
        <v>45602</v>
      </c>
      <c r="C413" s="56">
        <v>12863.65</v>
      </c>
      <c r="D413" s="15">
        <f t="shared" si="13"/>
        <v>0.12883099104475004</v>
      </c>
      <c r="G413" s="56">
        <v>22904.45</v>
      </c>
      <c r="H413" s="15">
        <f t="shared" si="12"/>
        <v>0</v>
      </c>
    </row>
    <row r="414" spans="2:8" x14ac:dyDescent="0.35">
      <c r="B414" s="57">
        <v>45603</v>
      </c>
      <c r="C414" s="56">
        <v>12715.2</v>
      </c>
      <c r="D414" s="15">
        <f t="shared" si="13"/>
        <v>-1.1540270452010004E-2</v>
      </c>
      <c r="G414" s="56">
        <v>22904.45</v>
      </c>
      <c r="H414" s="15">
        <f t="shared" si="12"/>
        <v>0</v>
      </c>
    </row>
    <row r="415" spans="2:8" x14ac:dyDescent="0.35">
      <c r="B415" s="57">
        <v>45605</v>
      </c>
      <c r="C415" s="56">
        <v>12242.6</v>
      </c>
      <c r="D415" s="15">
        <f t="shared" si="13"/>
        <v>-3.7168113753617726E-2</v>
      </c>
      <c r="G415" s="56">
        <v>22904.45</v>
      </c>
      <c r="H415" s="15">
        <f t="shared" si="12"/>
        <v>0</v>
      </c>
    </row>
    <row r="416" spans="2:8" x14ac:dyDescent="0.35">
      <c r="B416" s="57">
        <v>45606</v>
      </c>
      <c r="C416" s="56">
        <v>12776.65</v>
      </c>
      <c r="D416" s="15">
        <f t="shared" si="13"/>
        <v>4.3622269779295175E-2</v>
      </c>
      <c r="G416" s="56">
        <v>22904.45</v>
      </c>
      <c r="H416" s="15">
        <f t="shared" si="12"/>
        <v>0</v>
      </c>
    </row>
    <row r="417" spans="2:8" x14ac:dyDescent="0.35">
      <c r="B417" s="57">
        <v>45607</v>
      </c>
      <c r="C417" s="56">
        <v>11399.7</v>
      </c>
      <c r="D417" s="15">
        <f t="shared" si="13"/>
        <v>-0.10777081629378582</v>
      </c>
      <c r="G417" s="56">
        <v>22904.45</v>
      </c>
      <c r="H417" s="15">
        <f t="shared" si="12"/>
        <v>0</v>
      </c>
    </row>
    <row r="418" spans="2:8" x14ac:dyDescent="0.35">
      <c r="B418" s="57">
        <v>45608</v>
      </c>
      <c r="C418" s="56">
        <v>11277.75</v>
      </c>
      <c r="D418" s="15">
        <f t="shared" si="13"/>
        <v>-1.0697649938156362E-2</v>
      </c>
      <c r="G418" s="56">
        <v>22904.45</v>
      </c>
      <c r="H418" s="15">
        <f t="shared" si="12"/>
        <v>0</v>
      </c>
    </row>
    <row r="419" spans="2:8" x14ac:dyDescent="0.35">
      <c r="B419" s="57">
        <v>45609</v>
      </c>
      <c r="C419" s="56">
        <v>11049.6</v>
      </c>
      <c r="D419" s="15">
        <f t="shared" si="13"/>
        <v>-2.0230099088913933E-2</v>
      </c>
      <c r="G419" s="56">
        <v>22904.45</v>
      </c>
      <c r="H419" s="15">
        <f t="shared" si="12"/>
        <v>0</v>
      </c>
    </row>
    <row r="420" spans="2:8" x14ac:dyDescent="0.35">
      <c r="B420" s="57">
        <v>45610</v>
      </c>
      <c r="C420" s="56">
        <v>11006.05</v>
      </c>
      <c r="D420" s="15">
        <f t="shared" si="13"/>
        <v>-3.9413191427745131E-3</v>
      </c>
      <c r="G420" s="56">
        <v>22904.45</v>
      </c>
      <c r="H420" s="15">
        <f t="shared" si="12"/>
        <v>0</v>
      </c>
    </row>
    <row r="421" spans="2:8" x14ac:dyDescent="0.35">
      <c r="B421" s="57">
        <v>45614</v>
      </c>
      <c r="C421" s="56">
        <v>11093.95</v>
      </c>
      <c r="D421" s="15">
        <f t="shared" si="13"/>
        <v>7.9865165068304655E-3</v>
      </c>
      <c r="G421" s="56">
        <v>22904.45</v>
      </c>
      <c r="H421" s="15">
        <f t="shared" si="12"/>
        <v>0</v>
      </c>
    </row>
    <row r="422" spans="2:8" x14ac:dyDescent="0.35">
      <c r="B422" s="57">
        <v>45615</v>
      </c>
      <c r="C422" s="56">
        <v>10959.3</v>
      </c>
      <c r="D422" s="15">
        <f t="shared" si="13"/>
        <v>-1.2137245976410749E-2</v>
      </c>
      <c r="G422" s="56">
        <v>22904.45</v>
      </c>
      <c r="H422" s="15">
        <f t="shared" si="12"/>
        <v>0</v>
      </c>
    </row>
    <row r="423" spans="2:8" x14ac:dyDescent="0.35">
      <c r="B423" s="57">
        <v>45617</v>
      </c>
      <c r="C423" s="56">
        <v>10861.45</v>
      </c>
      <c r="D423" s="15">
        <f t="shared" si="13"/>
        <v>-8.9284899583000898E-3</v>
      </c>
      <c r="G423" s="56">
        <v>22904.45</v>
      </c>
      <c r="H423" s="15">
        <f t="shared" si="12"/>
        <v>0</v>
      </c>
    </row>
    <row r="424" spans="2:8" x14ac:dyDescent="0.35">
      <c r="B424" s="57">
        <v>45618</v>
      </c>
      <c r="C424" s="56">
        <v>11063.6</v>
      </c>
      <c r="D424" s="15">
        <f t="shared" si="13"/>
        <v>1.8611695491854263E-2</v>
      </c>
      <c r="G424" s="56">
        <v>22904.45</v>
      </c>
      <c r="H424" s="15">
        <f t="shared" si="12"/>
        <v>0</v>
      </c>
    </row>
    <row r="425" spans="2:8" x14ac:dyDescent="0.35">
      <c r="B425" s="57">
        <v>45621</v>
      </c>
      <c r="C425" s="56">
        <v>11025.15</v>
      </c>
      <c r="D425" s="15">
        <f t="shared" si="13"/>
        <v>-3.4753606421057404E-3</v>
      </c>
      <c r="G425" s="56">
        <v>22904.45</v>
      </c>
      <c r="H425" s="15">
        <f t="shared" si="12"/>
        <v>0</v>
      </c>
    </row>
    <row r="426" spans="2:8" x14ac:dyDescent="0.35">
      <c r="B426" s="57">
        <v>45622</v>
      </c>
      <c r="C426" s="56">
        <v>10943.95</v>
      </c>
      <c r="D426" s="15">
        <f t="shared" si="13"/>
        <v>-7.3649791612812043E-3</v>
      </c>
      <c r="G426" s="56">
        <v>22904.45</v>
      </c>
      <c r="H426" s="15">
        <f t="shared" si="12"/>
        <v>0</v>
      </c>
    </row>
    <row r="427" spans="2:8" x14ac:dyDescent="0.35">
      <c r="B427" s="57">
        <v>45623</v>
      </c>
      <c r="C427" s="56">
        <v>11058.35</v>
      </c>
      <c r="D427" s="15">
        <f t="shared" si="13"/>
        <v>1.0453264132237461E-2</v>
      </c>
      <c r="G427" s="56">
        <v>22904.45</v>
      </c>
      <c r="H427" s="15">
        <f t="shared" si="12"/>
        <v>0</v>
      </c>
    </row>
    <row r="428" spans="2:8" x14ac:dyDescent="0.35">
      <c r="B428" s="57">
        <v>45624</v>
      </c>
      <c r="C428" s="56">
        <v>10949.85</v>
      </c>
      <c r="D428" s="15">
        <f t="shared" si="13"/>
        <v>-9.8115903367138602E-3</v>
      </c>
      <c r="G428" s="56">
        <v>22904.45</v>
      </c>
      <c r="H428" s="15">
        <f t="shared" si="12"/>
        <v>0</v>
      </c>
    </row>
    <row r="429" spans="2:8" x14ac:dyDescent="0.35">
      <c r="B429" s="57">
        <v>45625</v>
      </c>
      <c r="C429" s="56">
        <v>11074.2</v>
      </c>
      <c r="D429" s="15">
        <f t="shared" si="13"/>
        <v>1.13563199495883E-2</v>
      </c>
      <c r="G429" s="56">
        <v>22904.45</v>
      </c>
      <c r="H429" s="15">
        <f t="shared" si="12"/>
        <v>0</v>
      </c>
    </row>
    <row r="430" spans="2:8" x14ac:dyDescent="0.35">
      <c r="B430" s="57">
        <v>45627</v>
      </c>
      <c r="C430" s="56">
        <v>9965.65</v>
      </c>
      <c r="D430" s="15">
        <f t="shared" si="13"/>
        <v>-0.10010203897346992</v>
      </c>
      <c r="G430" s="56">
        <v>22904.45</v>
      </c>
      <c r="H430" s="15">
        <f t="shared" si="12"/>
        <v>0</v>
      </c>
    </row>
    <row r="431" spans="2:8" x14ac:dyDescent="0.35">
      <c r="B431" s="57">
        <v>45628</v>
      </c>
      <c r="C431" s="56">
        <v>10709.7</v>
      </c>
      <c r="D431" s="15">
        <f t="shared" si="13"/>
        <v>7.4661462122390443E-2</v>
      </c>
      <c r="G431" s="56">
        <v>22904.45</v>
      </c>
      <c r="H431" s="15">
        <f t="shared" si="12"/>
        <v>0</v>
      </c>
    </row>
    <row r="432" spans="2:8" x14ac:dyDescent="0.35">
      <c r="B432" s="57">
        <v>45629</v>
      </c>
      <c r="C432" s="56">
        <v>11509.9</v>
      </c>
      <c r="D432" s="15">
        <f t="shared" si="13"/>
        <v>7.471731234301604E-2</v>
      </c>
      <c r="G432" s="56">
        <v>22904.45</v>
      </c>
      <c r="H432" s="15">
        <f t="shared" si="12"/>
        <v>0</v>
      </c>
    </row>
    <row r="433" spans="2:8" x14ac:dyDescent="0.35">
      <c r="B433" s="57">
        <v>45630</v>
      </c>
      <c r="C433" s="56">
        <v>12266.55</v>
      </c>
      <c r="D433" s="15">
        <f t="shared" si="13"/>
        <v>6.5739059418413737E-2</v>
      </c>
      <c r="G433" s="56">
        <v>22904.45</v>
      </c>
      <c r="H433" s="15">
        <f t="shared" si="12"/>
        <v>0</v>
      </c>
    </row>
    <row r="434" spans="2:8" x14ac:dyDescent="0.35">
      <c r="B434" s="57">
        <v>45632</v>
      </c>
      <c r="C434" s="56">
        <v>12849.35</v>
      </c>
      <c r="D434" s="15">
        <f t="shared" si="13"/>
        <v>4.7511321439198673E-2</v>
      </c>
      <c r="G434" s="56">
        <v>22904.45</v>
      </c>
      <c r="H434" s="15">
        <f t="shared" si="12"/>
        <v>0</v>
      </c>
    </row>
    <row r="435" spans="2:8" x14ac:dyDescent="0.35">
      <c r="B435" s="57">
        <v>45633</v>
      </c>
      <c r="C435" s="56">
        <v>12562.5</v>
      </c>
      <c r="D435" s="15">
        <f t="shared" si="13"/>
        <v>-2.2324086432387702E-2</v>
      </c>
      <c r="G435" s="56">
        <v>22904.45</v>
      </c>
      <c r="H435" s="15">
        <f t="shared" si="12"/>
        <v>0</v>
      </c>
    </row>
    <row r="436" spans="2:8" x14ac:dyDescent="0.35">
      <c r="B436" s="57">
        <v>45634</v>
      </c>
      <c r="C436" s="56">
        <v>12273.25</v>
      </c>
      <c r="D436" s="15">
        <f t="shared" si="13"/>
        <v>-2.3024875621890595E-2</v>
      </c>
      <c r="G436" s="56">
        <v>22904.45</v>
      </c>
      <c r="H436" s="15">
        <f t="shared" si="12"/>
        <v>0</v>
      </c>
    </row>
    <row r="437" spans="2:8" x14ac:dyDescent="0.35">
      <c r="B437" s="57">
        <v>45635</v>
      </c>
      <c r="C437" s="56">
        <v>12400.85</v>
      </c>
      <c r="D437" s="15">
        <f t="shared" si="13"/>
        <v>1.039659421913508E-2</v>
      </c>
      <c r="G437" s="56">
        <v>22904.45</v>
      </c>
      <c r="H437" s="15">
        <f t="shared" si="12"/>
        <v>0</v>
      </c>
    </row>
    <row r="438" spans="2:8" x14ac:dyDescent="0.35">
      <c r="B438" s="57">
        <v>45637</v>
      </c>
      <c r="C438" s="56">
        <v>11143.1</v>
      </c>
      <c r="D438" s="15">
        <f t="shared" si="13"/>
        <v>-0.10142449912707596</v>
      </c>
      <c r="G438" s="56">
        <v>22904.45</v>
      </c>
      <c r="H438" s="15">
        <f t="shared" si="12"/>
        <v>0</v>
      </c>
    </row>
    <row r="439" spans="2:8" x14ac:dyDescent="0.35">
      <c r="B439" s="57">
        <v>45638</v>
      </c>
      <c r="C439" s="56">
        <v>11167.4</v>
      </c>
      <c r="D439" s="15">
        <f t="shared" si="13"/>
        <v>2.1807217022191683E-3</v>
      </c>
      <c r="G439" s="56">
        <v>22904.45</v>
      </c>
      <c r="H439" s="15">
        <f t="shared" si="12"/>
        <v>0</v>
      </c>
    </row>
    <row r="440" spans="2:8" x14ac:dyDescent="0.35">
      <c r="B440" s="57">
        <v>45639</v>
      </c>
      <c r="C440" s="56">
        <v>11272.55</v>
      </c>
      <c r="D440" s="15">
        <f t="shared" si="13"/>
        <v>9.4157995594319477E-3</v>
      </c>
      <c r="G440" s="56">
        <v>22904.45</v>
      </c>
      <c r="H440" s="15">
        <f t="shared" si="12"/>
        <v>0</v>
      </c>
    </row>
    <row r="441" spans="2:8" x14ac:dyDescent="0.35">
      <c r="B441" s="57">
        <v>45642</v>
      </c>
      <c r="C441" s="56">
        <v>11277</v>
      </c>
      <c r="D441" s="15">
        <f t="shared" si="13"/>
        <v>3.9476427250284551E-4</v>
      </c>
      <c r="G441" s="56">
        <v>22904.45</v>
      </c>
      <c r="H441" s="15">
        <f t="shared" si="12"/>
        <v>0</v>
      </c>
    </row>
    <row r="442" spans="2:8" x14ac:dyDescent="0.35">
      <c r="B442" s="57">
        <v>45643</v>
      </c>
      <c r="C442" s="56">
        <v>11108.55</v>
      </c>
      <c r="D442" s="15">
        <f t="shared" si="13"/>
        <v>-1.4937483373237637E-2</v>
      </c>
      <c r="G442" s="56">
        <v>22904.45</v>
      </c>
      <c r="H442" s="15">
        <f t="shared" si="12"/>
        <v>0</v>
      </c>
    </row>
    <row r="443" spans="2:8" x14ac:dyDescent="0.35">
      <c r="B443" s="57">
        <v>45644</v>
      </c>
      <c r="C443" s="56">
        <v>11002.45</v>
      </c>
      <c r="D443" s="15">
        <f t="shared" si="13"/>
        <v>-9.5512015519575444E-3</v>
      </c>
      <c r="G443" s="56">
        <v>22904.45</v>
      </c>
      <c r="H443" s="15">
        <f t="shared" si="12"/>
        <v>0</v>
      </c>
    </row>
    <row r="444" spans="2:8" x14ac:dyDescent="0.35">
      <c r="B444" s="57">
        <v>45645</v>
      </c>
      <c r="C444" s="56">
        <v>10955.35</v>
      </c>
      <c r="D444" s="15">
        <f t="shared" si="13"/>
        <v>-4.2808647164950253E-3</v>
      </c>
      <c r="G444" s="56">
        <v>22904.45</v>
      </c>
      <c r="H444" s="15">
        <f t="shared" si="12"/>
        <v>0</v>
      </c>
    </row>
    <row r="445" spans="2:8" x14ac:dyDescent="0.35">
      <c r="B445" s="57">
        <v>45646</v>
      </c>
      <c r="C445" s="56">
        <v>10901.05</v>
      </c>
      <c r="D445" s="15">
        <f t="shared" si="13"/>
        <v>-4.9564824492144277E-3</v>
      </c>
      <c r="G445" s="56">
        <v>22904.45</v>
      </c>
      <c r="H445" s="15">
        <f t="shared" si="12"/>
        <v>0</v>
      </c>
    </row>
    <row r="446" spans="2:8" x14ac:dyDescent="0.35">
      <c r="B446" s="57">
        <v>45649</v>
      </c>
      <c r="C446" s="56">
        <v>10822</v>
      </c>
      <c r="D446" s="15">
        <f t="shared" si="13"/>
        <v>-7.2515950298365217E-3</v>
      </c>
      <c r="G446" s="56">
        <v>22904.45</v>
      </c>
      <c r="H446" s="15">
        <f t="shared" si="12"/>
        <v>0</v>
      </c>
    </row>
    <row r="447" spans="2:8" x14ac:dyDescent="0.35">
      <c r="B447" s="57">
        <v>45650</v>
      </c>
      <c r="C447" s="56">
        <v>10736.6</v>
      </c>
      <c r="D447" s="15">
        <f t="shared" si="13"/>
        <v>-7.8913324708925758E-3</v>
      </c>
      <c r="G447" s="56">
        <v>22904.45</v>
      </c>
      <c r="H447" s="15">
        <f t="shared" ref="H447:H510" si="14">G447/G446-1</f>
        <v>0</v>
      </c>
    </row>
    <row r="448" spans="2:8" x14ac:dyDescent="0.35">
      <c r="B448" s="57">
        <v>45652</v>
      </c>
      <c r="C448" s="56">
        <v>10896</v>
      </c>
      <c r="D448" s="15">
        <f t="shared" si="13"/>
        <v>1.4846413203434938E-2</v>
      </c>
      <c r="G448" s="56">
        <v>22904.45</v>
      </c>
      <c r="H448" s="15">
        <f t="shared" si="14"/>
        <v>0</v>
      </c>
    </row>
    <row r="449" spans="2:8" x14ac:dyDescent="0.35">
      <c r="B449" s="57">
        <v>45653</v>
      </c>
      <c r="C449" s="56">
        <v>10941.05</v>
      </c>
      <c r="D449" s="15">
        <f t="shared" si="13"/>
        <v>4.1345447870777541E-3</v>
      </c>
      <c r="G449" s="56">
        <v>22904.45</v>
      </c>
      <c r="H449" s="15">
        <f t="shared" si="14"/>
        <v>0</v>
      </c>
    </row>
    <row r="450" spans="2:8" x14ac:dyDescent="0.35">
      <c r="B450" s="57">
        <v>45656</v>
      </c>
      <c r="C450" s="56">
        <v>10798.95</v>
      </c>
      <c r="D450" s="15">
        <f t="shared" si="13"/>
        <v>-1.298778453621896E-2</v>
      </c>
      <c r="G450" s="56">
        <v>22904.45</v>
      </c>
      <c r="H450" s="15">
        <f t="shared" si="14"/>
        <v>0</v>
      </c>
    </row>
    <row r="451" spans="2:8" x14ac:dyDescent="0.35">
      <c r="B451" s="57">
        <v>45657</v>
      </c>
      <c r="C451" s="56">
        <v>10858.4</v>
      </c>
      <c r="D451" s="15">
        <f t="shared" si="13"/>
        <v>5.5051648539903297E-3</v>
      </c>
      <c r="G451" s="56">
        <v>22904.45</v>
      </c>
      <c r="H451" s="15">
        <f t="shared" si="14"/>
        <v>0</v>
      </c>
    </row>
    <row r="452" spans="2:8" x14ac:dyDescent="0.35">
      <c r="B452" s="57">
        <v>45658</v>
      </c>
      <c r="C452" s="56">
        <v>11208.3</v>
      </c>
      <c r="D452" s="15">
        <f t="shared" si="13"/>
        <v>3.2223900390481175E-2</v>
      </c>
      <c r="G452" s="56">
        <v>22904.45</v>
      </c>
      <c r="H452" s="15">
        <f t="shared" si="14"/>
        <v>0</v>
      </c>
    </row>
    <row r="453" spans="2:8" x14ac:dyDescent="0.35">
      <c r="B453" s="57">
        <v>45659</v>
      </c>
      <c r="C453" s="56">
        <v>12916.5</v>
      </c>
      <c r="D453" s="15">
        <f t="shared" si="13"/>
        <v>0.15240491421535829</v>
      </c>
      <c r="G453" s="56">
        <v>22904.45</v>
      </c>
      <c r="H453" s="15">
        <f t="shared" si="14"/>
        <v>0</v>
      </c>
    </row>
    <row r="454" spans="2:8" x14ac:dyDescent="0.35">
      <c r="B454" s="57">
        <v>45661</v>
      </c>
      <c r="C454" s="56">
        <v>11481.1</v>
      </c>
      <c r="D454" s="15">
        <f t="shared" si="13"/>
        <v>-0.11112917586033366</v>
      </c>
      <c r="G454" s="56">
        <v>22904.45</v>
      </c>
      <c r="H454" s="15">
        <f t="shared" si="14"/>
        <v>0</v>
      </c>
    </row>
    <row r="455" spans="2:8" x14ac:dyDescent="0.35">
      <c r="B455" s="57">
        <v>45670</v>
      </c>
      <c r="C455" s="56">
        <v>11497.7</v>
      </c>
      <c r="D455" s="15">
        <f t="shared" si="13"/>
        <v>1.4458544912945293E-3</v>
      </c>
      <c r="G455" s="56">
        <v>22904.45</v>
      </c>
      <c r="H455" s="15">
        <f t="shared" si="14"/>
        <v>0</v>
      </c>
    </row>
    <row r="456" spans="2:8" x14ac:dyDescent="0.35">
      <c r="B456" s="57">
        <v>45671</v>
      </c>
      <c r="C456" s="56">
        <v>11741.15</v>
      </c>
      <c r="D456" s="15">
        <f t="shared" si="13"/>
        <v>2.1173799977386665E-2</v>
      </c>
      <c r="G456" s="56">
        <v>22904.45</v>
      </c>
      <c r="H456" s="15">
        <f t="shared" si="14"/>
        <v>0</v>
      </c>
    </row>
    <row r="457" spans="2:8" x14ac:dyDescent="0.35">
      <c r="B457" s="57">
        <v>45672</v>
      </c>
      <c r="C457" s="56">
        <v>11947.4</v>
      </c>
      <c r="D457" s="15">
        <f t="shared" si="13"/>
        <v>1.7566422369188706E-2</v>
      </c>
      <c r="G457" s="56">
        <v>22904.45</v>
      </c>
      <c r="H457" s="15">
        <f t="shared" si="14"/>
        <v>0</v>
      </c>
    </row>
    <row r="458" spans="2:8" x14ac:dyDescent="0.35">
      <c r="B458" s="57">
        <v>45673</v>
      </c>
      <c r="C458" s="56">
        <v>12092.3</v>
      </c>
      <c r="D458" s="15">
        <f t="shared" si="13"/>
        <v>1.2128161775783797E-2</v>
      </c>
      <c r="G458" s="56">
        <v>22904.45</v>
      </c>
      <c r="H458" s="15">
        <f t="shared" si="14"/>
        <v>0</v>
      </c>
    </row>
    <row r="459" spans="2:8" x14ac:dyDescent="0.35">
      <c r="B459" s="57">
        <v>45674</v>
      </c>
      <c r="C459" s="56">
        <v>12136.35</v>
      </c>
      <c r="D459" s="15">
        <f t="shared" ref="D459:D522" si="15">C459/C458-1</f>
        <v>3.6428140221465011E-3</v>
      </c>
      <c r="G459" s="56">
        <v>22904.45</v>
      </c>
      <c r="H459" s="15">
        <f t="shared" si="14"/>
        <v>0</v>
      </c>
    </row>
    <row r="460" spans="2:8" x14ac:dyDescent="0.35">
      <c r="B460" s="57">
        <v>45677</v>
      </c>
      <c r="C460" s="56">
        <v>12020.05</v>
      </c>
      <c r="D460" s="15">
        <f t="shared" si="15"/>
        <v>-9.58278230275178E-3</v>
      </c>
      <c r="G460" s="56">
        <v>22904.45</v>
      </c>
      <c r="H460" s="15">
        <f t="shared" si="14"/>
        <v>0</v>
      </c>
    </row>
    <row r="461" spans="2:8" x14ac:dyDescent="0.35">
      <c r="B461" s="57">
        <v>45678</v>
      </c>
      <c r="C461" s="56">
        <v>11883.7</v>
      </c>
      <c r="D461" s="15">
        <f t="shared" si="15"/>
        <v>-1.1343546823848416E-2</v>
      </c>
      <c r="G461" s="56">
        <v>22904.45</v>
      </c>
      <c r="H461" s="15">
        <f t="shared" si="14"/>
        <v>0</v>
      </c>
    </row>
    <row r="462" spans="2:8" x14ac:dyDescent="0.35">
      <c r="B462" s="57">
        <v>45679</v>
      </c>
      <c r="C462" s="56">
        <v>12020.35</v>
      </c>
      <c r="D462" s="15">
        <f t="shared" si="15"/>
        <v>1.1498943931603778E-2</v>
      </c>
      <c r="G462" s="56">
        <v>22904.45</v>
      </c>
      <c r="H462" s="15">
        <f t="shared" si="14"/>
        <v>0</v>
      </c>
    </row>
    <row r="463" spans="2:8" x14ac:dyDescent="0.35">
      <c r="B463" s="57">
        <v>45680</v>
      </c>
      <c r="C463" s="56">
        <v>12045.75</v>
      </c>
      <c r="D463" s="15">
        <f t="shared" si="15"/>
        <v>2.1130832296896163E-3</v>
      </c>
      <c r="G463" s="56">
        <v>22904.45</v>
      </c>
      <c r="H463" s="15">
        <f t="shared" si="14"/>
        <v>0</v>
      </c>
    </row>
    <row r="464" spans="2:8" x14ac:dyDescent="0.35">
      <c r="B464" s="57">
        <v>45681</v>
      </c>
      <c r="C464" s="56">
        <v>11967.9</v>
      </c>
      <c r="D464" s="15">
        <f t="shared" si="15"/>
        <v>-6.4628603449349287E-3</v>
      </c>
      <c r="G464" s="56">
        <v>22904.45</v>
      </c>
      <c r="H464" s="15">
        <f t="shared" si="14"/>
        <v>0</v>
      </c>
    </row>
    <row r="465" spans="2:8" x14ac:dyDescent="0.35">
      <c r="B465" s="57">
        <v>45684</v>
      </c>
      <c r="C465" s="56">
        <v>11993.85</v>
      </c>
      <c r="D465" s="15">
        <f t="shared" si="15"/>
        <v>2.1683002030432608E-3</v>
      </c>
      <c r="G465" s="56">
        <v>22904.45</v>
      </c>
      <c r="H465" s="15">
        <f t="shared" si="14"/>
        <v>0</v>
      </c>
    </row>
    <row r="466" spans="2:8" x14ac:dyDescent="0.35">
      <c r="B466" s="57">
        <v>45685</v>
      </c>
      <c r="C466" s="56">
        <v>12123.75</v>
      </c>
      <c r="D466" s="15">
        <f t="shared" si="15"/>
        <v>1.0830550657211724E-2</v>
      </c>
      <c r="G466" s="56">
        <v>22904.45</v>
      </c>
      <c r="H466" s="15">
        <f t="shared" si="14"/>
        <v>0</v>
      </c>
    </row>
    <row r="467" spans="2:8" x14ac:dyDescent="0.35">
      <c r="B467" s="57">
        <v>45686</v>
      </c>
      <c r="C467" s="56">
        <v>11977.9</v>
      </c>
      <c r="D467" s="15">
        <f t="shared" si="15"/>
        <v>-1.2030106196515122E-2</v>
      </c>
      <c r="G467" s="56">
        <v>22904.45</v>
      </c>
      <c r="H467" s="15">
        <f t="shared" si="14"/>
        <v>0</v>
      </c>
    </row>
    <row r="468" spans="2:8" x14ac:dyDescent="0.35">
      <c r="B468" s="57">
        <v>45687</v>
      </c>
      <c r="C468" s="56">
        <v>12000</v>
      </c>
      <c r="D468" s="15">
        <f t="shared" si="15"/>
        <v>1.8450646607501842E-3</v>
      </c>
      <c r="G468" s="56">
        <v>22904.45</v>
      </c>
      <c r="H468" s="15">
        <f t="shared" si="14"/>
        <v>0</v>
      </c>
    </row>
    <row r="469" spans="2:8" x14ac:dyDescent="0.35">
      <c r="B469" s="57">
        <v>45688</v>
      </c>
      <c r="C469" s="56">
        <v>12310.65</v>
      </c>
      <c r="D469" s="15">
        <f t="shared" si="15"/>
        <v>2.5887500000000063E-2</v>
      </c>
      <c r="G469" s="56">
        <v>22904.45</v>
      </c>
      <c r="H469" s="15">
        <f t="shared" si="14"/>
        <v>0</v>
      </c>
    </row>
    <row r="470" spans="2:8" x14ac:dyDescent="0.35">
      <c r="B470" s="57">
        <v>45689</v>
      </c>
      <c r="C470" s="56">
        <v>11841.3</v>
      </c>
      <c r="D470" s="15">
        <f t="shared" si="15"/>
        <v>-3.8125525459662968E-2</v>
      </c>
      <c r="G470" s="56">
        <v>22904.45</v>
      </c>
      <c r="H470" s="15">
        <f t="shared" si="14"/>
        <v>0</v>
      </c>
    </row>
    <row r="471" spans="2:8" x14ac:dyDescent="0.35">
      <c r="B471" s="57">
        <v>45701</v>
      </c>
      <c r="C471" s="56">
        <v>12671.3</v>
      </c>
      <c r="D471" s="15">
        <f t="shared" si="15"/>
        <v>7.0093655257446486E-2</v>
      </c>
      <c r="G471" s="56">
        <v>22904.45</v>
      </c>
      <c r="H471" s="15">
        <f t="shared" si="14"/>
        <v>0</v>
      </c>
    </row>
    <row r="472" spans="2:8" x14ac:dyDescent="0.35">
      <c r="B472" s="57">
        <v>45702</v>
      </c>
      <c r="C472" s="56">
        <v>12680.25</v>
      </c>
      <c r="D472" s="15">
        <f t="shared" si="15"/>
        <v>7.0632058273423226E-4</v>
      </c>
      <c r="G472" s="56">
        <v>22904.45</v>
      </c>
      <c r="H472" s="15">
        <f t="shared" si="14"/>
        <v>0</v>
      </c>
    </row>
    <row r="473" spans="2:8" x14ac:dyDescent="0.35">
      <c r="B473" s="57">
        <v>45704</v>
      </c>
      <c r="C473" s="56">
        <v>12323.45</v>
      </c>
      <c r="D473" s="15">
        <f t="shared" si="15"/>
        <v>-2.8138246485676532E-2</v>
      </c>
      <c r="G473" s="56">
        <v>22904.45</v>
      </c>
      <c r="H473" s="15">
        <f t="shared" si="14"/>
        <v>0</v>
      </c>
    </row>
    <row r="474" spans="2:8" x14ac:dyDescent="0.35">
      <c r="B474" s="57">
        <v>45705</v>
      </c>
      <c r="C474" s="56">
        <v>12762.9</v>
      </c>
      <c r="D474" s="15">
        <f t="shared" si="15"/>
        <v>3.5659656995403077E-2</v>
      </c>
      <c r="G474" s="56">
        <v>22904.45</v>
      </c>
      <c r="H474" s="15">
        <f t="shared" si="14"/>
        <v>0</v>
      </c>
    </row>
    <row r="475" spans="2:8" x14ac:dyDescent="0.35">
      <c r="B475" s="57">
        <v>45706</v>
      </c>
      <c r="C475" s="56">
        <v>12786.2</v>
      </c>
      <c r="D475" s="15">
        <f t="shared" si="15"/>
        <v>1.8256038988004875E-3</v>
      </c>
      <c r="G475" s="56">
        <v>22904.45</v>
      </c>
      <c r="H475" s="15">
        <f t="shared" si="14"/>
        <v>0</v>
      </c>
    </row>
    <row r="476" spans="2:8" x14ac:dyDescent="0.35">
      <c r="B476" s="57">
        <v>45707</v>
      </c>
      <c r="C476" s="56">
        <v>12686.15</v>
      </c>
      <c r="D476" s="15">
        <f t="shared" si="15"/>
        <v>-7.8248424082214552E-3</v>
      </c>
      <c r="G476" s="56">
        <v>22904.45</v>
      </c>
      <c r="H476" s="15">
        <f t="shared" si="14"/>
        <v>0</v>
      </c>
    </row>
    <row r="477" spans="2:8" x14ac:dyDescent="0.35">
      <c r="B477" s="57">
        <v>45708</v>
      </c>
      <c r="C477" s="56">
        <v>12440.65</v>
      </c>
      <c r="D477" s="15">
        <f t="shared" si="15"/>
        <v>-1.9351812803726887E-2</v>
      </c>
      <c r="G477" s="56">
        <v>22904.45</v>
      </c>
      <c r="H477" s="15">
        <f t="shared" si="14"/>
        <v>0</v>
      </c>
    </row>
    <row r="478" spans="2:8" x14ac:dyDescent="0.35">
      <c r="B478" s="57">
        <v>45709</v>
      </c>
      <c r="C478" s="56">
        <v>12323.45</v>
      </c>
      <c r="D478" s="15">
        <f t="shared" si="15"/>
        <v>-9.4207296242558858E-3</v>
      </c>
      <c r="G478" s="56">
        <v>22904.45</v>
      </c>
      <c r="H478" s="15">
        <f t="shared" si="14"/>
        <v>0</v>
      </c>
    </row>
    <row r="479" spans="2:8" x14ac:dyDescent="0.35">
      <c r="B479" s="57">
        <v>45711</v>
      </c>
      <c r="C479" s="56">
        <v>11945.85</v>
      </c>
      <c r="D479" s="15">
        <f t="shared" si="15"/>
        <v>-3.0640770238853587E-2</v>
      </c>
      <c r="G479" s="56">
        <v>22904.45</v>
      </c>
      <c r="H479" s="15">
        <f t="shared" si="14"/>
        <v>0</v>
      </c>
    </row>
    <row r="480" spans="2:8" x14ac:dyDescent="0.35">
      <c r="B480" s="57">
        <v>45712</v>
      </c>
      <c r="C480" s="56">
        <v>12345.2</v>
      </c>
      <c r="D480" s="15">
        <f t="shared" si="15"/>
        <v>3.3430019630248164E-2</v>
      </c>
      <c r="G480" s="56">
        <v>22904.45</v>
      </c>
      <c r="H480" s="15">
        <f t="shared" si="14"/>
        <v>0</v>
      </c>
    </row>
    <row r="481" spans="2:8" x14ac:dyDescent="0.35">
      <c r="B481" s="57">
        <v>45713</v>
      </c>
      <c r="C481" s="56">
        <v>12476.35</v>
      </c>
      <c r="D481" s="15">
        <f t="shared" si="15"/>
        <v>1.062356219421301E-2</v>
      </c>
      <c r="G481" s="56">
        <v>22904.45</v>
      </c>
      <c r="H481" s="15">
        <f t="shared" si="14"/>
        <v>0</v>
      </c>
    </row>
    <row r="482" spans="2:8" x14ac:dyDescent="0.35">
      <c r="B482" s="57">
        <v>45715</v>
      </c>
      <c r="C482" s="56">
        <v>12380.6</v>
      </c>
      <c r="D482" s="15">
        <f t="shared" si="15"/>
        <v>-7.6745201922036044E-3</v>
      </c>
      <c r="G482" s="56">
        <v>22904.45</v>
      </c>
      <c r="H482" s="15">
        <f t="shared" si="14"/>
        <v>0</v>
      </c>
    </row>
    <row r="483" spans="2:8" x14ac:dyDescent="0.35">
      <c r="B483" s="57">
        <v>45716</v>
      </c>
      <c r="C483" s="56">
        <v>11945.85</v>
      </c>
      <c r="D483" s="15">
        <f t="shared" si="15"/>
        <v>-3.511542251587163E-2</v>
      </c>
      <c r="G483" s="56">
        <v>22904.45</v>
      </c>
      <c r="H483" s="15">
        <f t="shared" si="14"/>
        <v>0</v>
      </c>
    </row>
    <row r="484" spans="2:8" x14ac:dyDescent="0.35">
      <c r="B484" s="57">
        <v>45717</v>
      </c>
      <c r="C484" s="56">
        <v>11934.25</v>
      </c>
      <c r="D484" s="15">
        <f t="shared" si="15"/>
        <v>-9.7104852312734913E-4</v>
      </c>
      <c r="G484" s="56">
        <v>22904.45</v>
      </c>
      <c r="H484" s="15">
        <f t="shared" si="14"/>
        <v>0</v>
      </c>
    </row>
    <row r="485" spans="2:8" x14ac:dyDescent="0.35">
      <c r="B485" s="57">
        <v>45718</v>
      </c>
      <c r="C485" s="56">
        <v>11664.15</v>
      </c>
      <c r="D485" s="15">
        <f t="shared" si="15"/>
        <v>-2.2632339694576564E-2</v>
      </c>
      <c r="G485" s="56">
        <v>22904.45</v>
      </c>
      <c r="H485" s="15">
        <f t="shared" si="14"/>
        <v>0</v>
      </c>
    </row>
    <row r="486" spans="2:8" x14ac:dyDescent="0.35">
      <c r="B486" s="57">
        <v>45718</v>
      </c>
      <c r="C486" s="56">
        <v>13139.95</v>
      </c>
      <c r="D486" s="15">
        <f t="shared" si="15"/>
        <v>0.12652443598547691</v>
      </c>
      <c r="G486" s="56">
        <v>22904.45</v>
      </c>
      <c r="H486" s="15">
        <f t="shared" si="14"/>
        <v>0</v>
      </c>
    </row>
    <row r="487" spans="2:8" x14ac:dyDescent="0.35">
      <c r="B487" s="57">
        <v>45719</v>
      </c>
      <c r="C487" s="56">
        <v>11775.6</v>
      </c>
      <c r="D487" s="15">
        <f t="shared" si="15"/>
        <v>-0.10383220636303792</v>
      </c>
      <c r="G487" s="56">
        <v>22904.45</v>
      </c>
      <c r="H487" s="15">
        <f t="shared" si="14"/>
        <v>0</v>
      </c>
    </row>
    <row r="488" spans="2:8" x14ac:dyDescent="0.35">
      <c r="B488" s="57">
        <v>45725</v>
      </c>
      <c r="C488" s="56">
        <v>11513.8</v>
      </c>
      <c r="D488" s="15">
        <f t="shared" si="15"/>
        <v>-2.2232412785760491E-2</v>
      </c>
      <c r="G488" s="56">
        <v>22904.45</v>
      </c>
      <c r="H488" s="15">
        <f t="shared" si="14"/>
        <v>0</v>
      </c>
    </row>
    <row r="489" spans="2:8" x14ac:dyDescent="0.35">
      <c r="B489" s="57">
        <v>45729</v>
      </c>
      <c r="C489" s="56">
        <v>11513.8</v>
      </c>
      <c r="D489" s="15">
        <f t="shared" si="15"/>
        <v>0</v>
      </c>
      <c r="G489" s="56">
        <v>22904.45</v>
      </c>
      <c r="H489" s="15">
        <f t="shared" si="14"/>
        <v>0</v>
      </c>
    </row>
    <row r="490" spans="2:8" x14ac:dyDescent="0.35">
      <c r="B490" s="57">
        <v>45732</v>
      </c>
      <c r="C490" s="56">
        <v>11732.8</v>
      </c>
      <c r="D490" s="15">
        <f t="shared" si="15"/>
        <v>1.9020653476697458E-2</v>
      </c>
      <c r="G490" s="56">
        <v>22904.45</v>
      </c>
      <c r="H490" s="15">
        <f t="shared" si="14"/>
        <v>0</v>
      </c>
    </row>
    <row r="491" spans="2:8" x14ac:dyDescent="0.35">
      <c r="B491" s="57">
        <v>45733</v>
      </c>
      <c r="C491" s="56">
        <v>11553.7</v>
      </c>
      <c r="D491" s="15">
        <f t="shared" si="15"/>
        <v>-1.526489840447276E-2</v>
      </c>
      <c r="G491" s="56">
        <v>22904.45</v>
      </c>
      <c r="H491" s="15">
        <f t="shared" si="14"/>
        <v>0</v>
      </c>
    </row>
    <row r="492" spans="2:8" x14ac:dyDescent="0.35">
      <c r="B492" s="57">
        <v>45734</v>
      </c>
      <c r="C492" s="56">
        <v>11714.55</v>
      </c>
      <c r="D492" s="15">
        <f t="shared" si="15"/>
        <v>1.3921947081886987E-2</v>
      </c>
      <c r="G492" s="56">
        <v>22904.45</v>
      </c>
      <c r="H492" s="15">
        <f t="shared" si="14"/>
        <v>0</v>
      </c>
    </row>
    <row r="493" spans="2:8" x14ac:dyDescent="0.35">
      <c r="B493" s="57">
        <v>45735</v>
      </c>
      <c r="C493" s="56">
        <v>11615.55</v>
      </c>
      <c r="D493" s="15">
        <f t="shared" si="15"/>
        <v>-8.4510288487393836E-3</v>
      </c>
      <c r="G493" s="56">
        <v>22904.45</v>
      </c>
      <c r="H493" s="15">
        <f t="shared" si="14"/>
        <v>0</v>
      </c>
    </row>
    <row r="494" spans="2:8" x14ac:dyDescent="0.35">
      <c r="B494" s="57">
        <v>45736</v>
      </c>
      <c r="C494" s="56">
        <v>11730.2</v>
      </c>
      <c r="D494" s="15">
        <f t="shared" si="15"/>
        <v>9.8703892626694767E-3</v>
      </c>
      <c r="G494" s="56">
        <v>22904.45</v>
      </c>
      <c r="H494" s="15">
        <f t="shared" si="14"/>
        <v>0</v>
      </c>
    </row>
    <row r="495" spans="2:8" x14ac:dyDescent="0.35">
      <c r="B495" s="57">
        <v>45737</v>
      </c>
      <c r="C495" s="56">
        <v>11732.8</v>
      </c>
      <c r="D495" s="15">
        <f t="shared" si="15"/>
        <v>2.2165009974250971E-4</v>
      </c>
      <c r="G495" s="56">
        <v>22904.45</v>
      </c>
      <c r="H495" s="15">
        <f t="shared" si="14"/>
        <v>0</v>
      </c>
    </row>
    <row r="496" spans="2:8" x14ac:dyDescent="0.35">
      <c r="B496" s="57">
        <v>45739</v>
      </c>
      <c r="C496" s="56">
        <v>11522.15</v>
      </c>
      <c r="D496" s="15">
        <f t="shared" si="15"/>
        <v>-1.7953941088231229E-2</v>
      </c>
      <c r="G496" s="56">
        <v>22904.45</v>
      </c>
      <c r="H496" s="15">
        <f t="shared" si="14"/>
        <v>0</v>
      </c>
    </row>
    <row r="497" spans="2:8" x14ac:dyDescent="0.35">
      <c r="B497" s="57">
        <v>45740</v>
      </c>
      <c r="C497" s="56">
        <v>11922.25</v>
      </c>
      <c r="D497" s="15">
        <f t="shared" si="15"/>
        <v>3.4724422091363172E-2</v>
      </c>
      <c r="G497" s="56">
        <v>22904.45</v>
      </c>
      <c r="H497" s="15">
        <f t="shared" si="14"/>
        <v>0</v>
      </c>
    </row>
    <row r="498" spans="2:8" x14ac:dyDescent="0.35">
      <c r="B498" s="57">
        <v>45741</v>
      </c>
      <c r="C498" s="56">
        <v>11868.9</v>
      </c>
      <c r="D498" s="15">
        <f t="shared" si="15"/>
        <v>-4.4748264799010506E-3</v>
      </c>
      <c r="G498" s="56">
        <v>22904.45</v>
      </c>
      <c r="H498" s="15">
        <f t="shared" si="14"/>
        <v>0</v>
      </c>
    </row>
    <row r="499" spans="2:8" x14ac:dyDescent="0.35">
      <c r="B499" s="57">
        <v>45742</v>
      </c>
      <c r="C499" s="56">
        <v>11734.3</v>
      </c>
      <c r="D499" s="15">
        <f t="shared" si="15"/>
        <v>-1.1340562309902436E-2</v>
      </c>
      <c r="G499" s="56">
        <v>22904.45</v>
      </c>
      <c r="H499" s="15">
        <f t="shared" si="14"/>
        <v>0</v>
      </c>
    </row>
    <row r="500" spans="2:8" x14ac:dyDescent="0.35">
      <c r="B500" s="57">
        <v>45743</v>
      </c>
      <c r="C500" s="56">
        <v>11721.95</v>
      </c>
      <c r="D500" s="15">
        <f t="shared" si="15"/>
        <v>-1.0524701089965616E-3</v>
      </c>
      <c r="G500" s="56">
        <v>22904.45</v>
      </c>
      <c r="H500" s="15">
        <f t="shared" si="14"/>
        <v>0</v>
      </c>
    </row>
    <row r="501" spans="2:8" x14ac:dyDescent="0.35">
      <c r="B501" s="57">
        <v>45744</v>
      </c>
      <c r="C501" s="56">
        <v>11522.15</v>
      </c>
      <c r="D501" s="15">
        <f t="shared" si="15"/>
        <v>-1.704494559352332E-2</v>
      </c>
      <c r="G501" s="56">
        <v>22904.45</v>
      </c>
      <c r="H501" s="15">
        <f t="shared" si="14"/>
        <v>0</v>
      </c>
    </row>
    <row r="502" spans="2:8" x14ac:dyDescent="0.35">
      <c r="B502" s="57">
        <v>45746</v>
      </c>
      <c r="C502" s="56">
        <v>11482</v>
      </c>
      <c r="D502" s="15">
        <f t="shared" si="15"/>
        <v>-3.4845927192407311E-3</v>
      </c>
      <c r="G502" s="56">
        <v>22904.45</v>
      </c>
      <c r="H502" s="15">
        <f t="shared" si="14"/>
        <v>0</v>
      </c>
    </row>
    <row r="503" spans="2:8" x14ac:dyDescent="0.35">
      <c r="B503" s="57">
        <v>45749</v>
      </c>
      <c r="C503" s="56">
        <v>13109.95</v>
      </c>
      <c r="D503" s="15">
        <f t="shared" si="15"/>
        <v>0.14178279045462472</v>
      </c>
      <c r="G503" s="56">
        <v>22904.45</v>
      </c>
      <c r="H503" s="15">
        <f t="shared" si="14"/>
        <v>0</v>
      </c>
    </row>
    <row r="504" spans="2:8" x14ac:dyDescent="0.35">
      <c r="B504" s="57">
        <v>45750</v>
      </c>
      <c r="C504" s="56">
        <v>11616.25</v>
      </c>
      <c r="D504" s="15">
        <f t="shared" si="15"/>
        <v>-0.11393636131335361</v>
      </c>
      <c r="G504" s="56">
        <v>22904.45</v>
      </c>
      <c r="H504" s="15">
        <f t="shared" si="14"/>
        <v>0</v>
      </c>
    </row>
    <row r="505" spans="2:8" x14ac:dyDescent="0.35">
      <c r="B505" s="57">
        <v>45753</v>
      </c>
      <c r="C505" s="56">
        <v>11599.05</v>
      </c>
      <c r="D505" s="15">
        <f t="shared" si="15"/>
        <v>-1.4806843860971641E-3</v>
      </c>
      <c r="G505" s="56">
        <v>22904.45</v>
      </c>
      <c r="H505" s="15">
        <f t="shared" si="14"/>
        <v>0</v>
      </c>
    </row>
    <row r="506" spans="2:8" x14ac:dyDescent="0.35">
      <c r="B506" s="57">
        <v>45760</v>
      </c>
      <c r="C506" s="56">
        <v>11695</v>
      </c>
      <c r="D506" s="15">
        <f t="shared" si="15"/>
        <v>8.2722291911838663E-3</v>
      </c>
      <c r="G506" s="56">
        <v>22904.45</v>
      </c>
      <c r="H506" s="15">
        <f t="shared" si="14"/>
        <v>0</v>
      </c>
    </row>
    <row r="507" spans="2:8" x14ac:dyDescent="0.35">
      <c r="B507" s="57">
        <v>45767</v>
      </c>
      <c r="C507" s="56">
        <v>11698</v>
      </c>
      <c r="D507" s="15">
        <f t="shared" si="15"/>
        <v>2.5651988029062878E-4</v>
      </c>
      <c r="G507" s="56">
        <v>22904.45</v>
      </c>
      <c r="H507" s="15">
        <f t="shared" si="14"/>
        <v>0</v>
      </c>
    </row>
    <row r="508" spans="2:8" x14ac:dyDescent="0.35">
      <c r="B508" s="57">
        <v>45774</v>
      </c>
      <c r="C508" s="56">
        <v>12406</v>
      </c>
      <c r="D508" s="15">
        <f t="shared" si="15"/>
        <v>6.0523166353222857E-2</v>
      </c>
      <c r="G508" s="56">
        <v>22904.45</v>
      </c>
      <c r="H508" s="15">
        <f t="shared" si="14"/>
        <v>0</v>
      </c>
    </row>
    <row r="509" spans="2:8" x14ac:dyDescent="0.35">
      <c r="B509" s="57">
        <v>45779</v>
      </c>
      <c r="C509" s="56">
        <v>13086.8</v>
      </c>
      <c r="D509" s="15">
        <f t="shared" si="15"/>
        <v>5.4876672577784946E-2</v>
      </c>
      <c r="G509" s="56">
        <v>22904.45</v>
      </c>
      <c r="H509" s="15">
        <f t="shared" si="14"/>
        <v>0</v>
      </c>
    </row>
    <row r="510" spans="2:8" x14ac:dyDescent="0.35">
      <c r="B510" s="57">
        <v>45780</v>
      </c>
      <c r="C510" s="56">
        <v>11617.35</v>
      </c>
      <c r="D510" s="15">
        <f t="shared" si="15"/>
        <v>-0.11228489775957451</v>
      </c>
      <c r="G510" s="56">
        <v>22904.45</v>
      </c>
      <c r="H510" s="15">
        <f t="shared" si="14"/>
        <v>0</v>
      </c>
    </row>
    <row r="511" spans="2:8" x14ac:dyDescent="0.35">
      <c r="B511" s="57">
        <v>45781</v>
      </c>
      <c r="C511" s="56">
        <v>12250</v>
      </c>
      <c r="D511" s="15">
        <f t="shared" si="15"/>
        <v>5.4457341820638883E-2</v>
      </c>
      <c r="G511" s="56">
        <v>22904.45</v>
      </c>
      <c r="H511" s="15">
        <f t="shared" ref="H511:H566" si="16">G511/G510-1</f>
        <v>0</v>
      </c>
    </row>
    <row r="512" spans="2:8" x14ac:dyDescent="0.35">
      <c r="B512" s="57">
        <v>45788</v>
      </c>
      <c r="C512" s="56">
        <v>12995</v>
      </c>
      <c r="D512" s="15">
        <f t="shared" si="15"/>
        <v>6.0816326530612308E-2</v>
      </c>
      <c r="G512" s="56">
        <v>22904.45</v>
      </c>
      <c r="H512" s="15">
        <f t="shared" si="16"/>
        <v>0</v>
      </c>
    </row>
    <row r="513" spans="2:8" x14ac:dyDescent="0.35">
      <c r="B513" s="57">
        <v>45795</v>
      </c>
      <c r="C513" s="56">
        <v>12453</v>
      </c>
      <c r="D513" s="15">
        <f t="shared" si="15"/>
        <v>-4.1708349365140451E-2</v>
      </c>
      <c r="G513" s="56">
        <v>22904.45</v>
      </c>
      <c r="H513" s="15">
        <f t="shared" si="16"/>
        <v>0</v>
      </c>
    </row>
    <row r="514" spans="2:8" x14ac:dyDescent="0.35">
      <c r="B514" s="57">
        <v>45802</v>
      </c>
      <c r="C514" s="56">
        <v>12319</v>
      </c>
      <c r="D514" s="15">
        <f t="shared" si="15"/>
        <v>-1.0760459327069816E-2</v>
      </c>
      <c r="G514" s="56">
        <v>22904.45</v>
      </c>
      <c r="H514" s="15">
        <f t="shared" si="16"/>
        <v>0</v>
      </c>
    </row>
    <row r="515" spans="2:8" x14ac:dyDescent="0.35">
      <c r="B515" s="57">
        <v>45809</v>
      </c>
      <c r="C515" s="56">
        <v>12462</v>
      </c>
      <c r="D515" s="15">
        <f t="shared" si="15"/>
        <v>1.1608085071840302E-2</v>
      </c>
      <c r="G515" s="56">
        <v>22904.45</v>
      </c>
      <c r="H515" s="15">
        <f t="shared" si="16"/>
        <v>0</v>
      </c>
    </row>
    <row r="516" spans="2:8" x14ac:dyDescent="0.35">
      <c r="B516" s="57">
        <v>45809</v>
      </c>
      <c r="C516" s="56">
        <v>11755.65</v>
      </c>
      <c r="D516" s="15">
        <f t="shared" si="15"/>
        <v>-5.6680308136735746E-2</v>
      </c>
      <c r="G516" s="56">
        <v>22904.45</v>
      </c>
      <c r="H516" s="15">
        <f t="shared" si="16"/>
        <v>0</v>
      </c>
    </row>
    <row r="517" spans="2:8" x14ac:dyDescent="0.35">
      <c r="B517" s="57">
        <v>45810</v>
      </c>
      <c r="C517" s="56">
        <v>13074</v>
      </c>
      <c r="D517" s="15">
        <f t="shared" si="15"/>
        <v>0.11214607444080094</v>
      </c>
      <c r="G517" s="56">
        <v>22904.45</v>
      </c>
      <c r="H517" s="15">
        <f t="shared" si="16"/>
        <v>0</v>
      </c>
    </row>
    <row r="518" spans="2:8" x14ac:dyDescent="0.35">
      <c r="B518" s="57">
        <v>45811</v>
      </c>
      <c r="C518" s="56">
        <v>11666.4</v>
      </c>
      <c r="D518" s="15">
        <f t="shared" si="15"/>
        <v>-0.10766406608536028</v>
      </c>
      <c r="G518" s="56">
        <v>22904.45</v>
      </c>
      <c r="H518" s="15">
        <f t="shared" si="16"/>
        <v>0</v>
      </c>
    </row>
    <row r="519" spans="2:8" x14ac:dyDescent="0.35">
      <c r="B519" s="57">
        <v>45816</v>
      </c>
      <c r="C519" s="56">
        <v>12408</v>
      </c>
      <c r="D519" s="15">
        <f t="shared" si="15"/>
        <v>6.356716724953726E-2</v>
      </c>
      <c r="G519" s="56">
        <v>22904.45</v>
      </c>
      <c r="H519" s="15">
        <f t="shared" si="16"/>
        <v>0</v>
      </c>
    </row>
    <row r="520" spans="2:8" x14ac:dyDescent="0.35">
      <c r="B520" s="57">
        <v>45823</v>
      </c>
      <c r="C520" s="56">
        <v>12791</v>
      </c>
      <c r="D520" s="15">
        <f t="shared" si="15"/>
        <v>3.086718246292719E-2</v>
      </c>
      <c r="G520" s="56">
        <v>22904.45</v>
      </c>
      <c r="H520" s="15">
        <f t="shared" si="16"/>
        <v>0</v>
      </c>
    </row>
    <row r="521" spans="2:8" x14ac:dyDescent="0.35">
      <c r="B521" s="57">
        <v>45830</v>
      </c>
      <c r="C521" s="56">
        <v>12642</v>
      </c>
      <c r="D521" s="15">
        <f t="shared" si="15"/>
        <v>-1.16488155734501E-2</v>
      </c>
      <c r="G521" s="56">
        <v>22904.45</v>
      </c>
      <c r="H521" s="15">
        <f t="shared" si="16"/>
        <v>0</v>
      </c>
    </row>
    <row r="522" spans="2:8" x14ac:dyDescent="0.35">
      <c r="B522" s="57">
        <v>45837</v>
      </c>
      <c r="C522" s="56">
        <v>12646</v>
      </c>
      <c r="D522" s="15">
        <f t="shared" si="15"/>
        <v>3.1640563202017802E-4</v>
      </c>
      <c r="G522" s="56">
        <v>22904.45</v>
      </c>
      <c r="H522" s="15">
        <f t="shared" si="16"/>
        <v>0</v>
      </c>
    </row>
    <row r="523" spans="2:8" x14ac:dyDescent="0.35">
      <c r="B523" s="57">
        <v>45839</v>
      </c>
      <c r="C523" s="56">
        <v>11721.3</v>
      </c>
      <c r="D523" s="15">
        <f t="shared" ref="D523:D566" si="17">C523/C522-1</f>
        <v>-7.3121935789973169E-2</v>
      </c>
      <c r="G523" s="56">
        <v>22904.45</v>
      </c>
      <c r="H523" s="15">
        <f t="shared" si="16"/>
        <v>0</v>
      </c>
    </row>
    <row r="524" spans="2:8" x14ac:dyDescent="0.35">
      <c r="B524" s="57">
        <v>45840</v>
      </c>
      <c r="C524" s="56">
        <v>13049.5</v>
      </c>
      <c r="D524" s="15">
        <f t="shared" si="17"/>
        <v>0.11331507597280166</v>
      </c>
      <c r="G524" s="56">
        <v>22904.45</v>
      </c>
      <c r="H524" s="15">
        <f t="shared" si="16"/>
        <v>0</v>
      </c>
    </row>
    <row r="525" spans="2:8" x14ac:dyDescent="0.35">
      <c r="B525" s="57">
        <v>45841</v>
      </c>
      <c r="C525" s="56">
        <v>11664.15</v>
      </c>
      <c r="D525" s="15">
        <f t="shared" si="17"/>
        <v>-0.10616115559983141</v>
      </c>
      <c r="G525" s="56">
        <v>22904.45</v>
      </c>
      <c r="H525" s="15">
        <f t="shared" si="16"/>
        <v>0</v>
      </c>
    </row>
    <row r="526" spans="2:8" x14ac:dyDescent="0.35">
      <c r="B526" s="57">
        <v>45844</v>
      </c>
      <c r="C526" s="56">
        <v>12574</v>
      </c>
      <c r="D526" s="15">
        <f t="shared" si="17"/>
        <v>7.8003969427690834E-2</v>
      </c>
      <c r="G526" s="56">
        <v>22904.45</v>
      </c>
      <c r="H526" s="15">
        <f t="shared" si="16"/>
        <v>0</v>
      </c>
    </row>
    <row r="527" spans="2:8" x14ac:dyDescent="0.35">
      <c r="B527" s="57">
        <v>45851</v>
      </c>
      <c r="C527" s="56">
        <v>12419</v>
      </c>
      <c r="D527" s="15">
        <f t="shared" si="17"/>
        <v>-1.2327024017814492E-2</v>
      </c>
      <c r="G527" s="56">
        <v>22904.45</v>
      </c>
      <c r="H527" s="15">
        <f t="shared" si="16"/>
        <v>0</v>
      </c>
    </row>
    <row r="528" spans="2:8" x14ac:dyDescent="0.35">
      <c r="B528" s="57">
        <v>45858</v>
      </c>
      <c r="C528" s="56">
        <v>12404</v>
      </c>
      <c r="D528" s="15">
        <f t="shared" si="17"/>
        <v>-1.2078267171269363E-3</v>
      </c>
      <c r="G528" s="56">
        <v>22904.45</v>
      </c>
      <c r="H528" s="15">
        <f t="shared" si="16"/>
        <v>0</v>
      </c>
    </row>
    <row r="529" spans="2:8" x14ac:dyDescent="0.35">
      <c r="B529" s="57">
        <v>45865</v>
      </c>
      <c r="C529" s="56">
        <v>12302</v>
      </c>
      <c r="D529" s="15">
        <f t="shared" si="17"/>
        <v>-8.2231538213479727E-3</v>
      </c>
      <c r="G529" s="56">
        <v>22904.45</v>
      </c>
      <c r="H529" s="15">
        <f t="shared" si="16"/>
        <v>0</v>
      </c>
    </row>
    <row r="530" spans="2:8" x14ac:dyDescent="0.35">
      <c r="B530" s="57">
        <v>45870</v>
      </c>
      <c r="C530" s="56">
        <v>11822</v>
      </c>
      <c r="D530" s="15">
        <f t="shared" si="17"/>
        <v>-3.901804584620383E-2</v>
      </c>
      <c r="G530" s="56">
        <v>22904.45</v>
      </c>
      <c r="H530" s="15">
        <f t="shared" si="16"/>
        <v>0</v>
      </c>
    </row>
    <row r="531" spans="2:8" x14ac:dyDescent="0.35">
      <c r="B531" s="57">
        <v>45872</v>
      </c>
      <c r="C531" s="56">
        <v>12590</v>
      </c>
      <c r="D531" s="15">
        <f t="shared" si="17"/>
        <v>6.4963627135848467E-2</v>
      </c>
      <c r="G531" s="56">
        <v>22904.45</v>
      </c>
      <c r="H531" s="15">
        <f t="shared" si="16"/>
        <v>0</v>
      </c>
    </row>
    <row r="532" spans="2:8" x14ac:dyDescent="0.35">
      <c r="B532" s="57">
        <v>45879</v>
      </c>
      <c r="C532" s="56">
        <v>12936</v>
      </c>
      <c r="D532" s="15">
        <f t="shared" si="17"/>
        <v>2.7482128673550488E-2</v>
      </c>
      <c r="G532" s="56">
        <v>22904.45</v>
      </c>
      <c r="H532" s="15">
        <f t="shared" si="16"/>
        <v>0</v>
      </c>
    </row>
    <row r="533" spans="2:8" x14ac:dyDescent="0.35">
      <c r="B533" s="57">
        <v>45886</v>
      </c>
      <c r="C533" s="56">
        <v>14349</v>
      </c>
      <c r="D533" s="15">
        <f t="shared" si="17"/>
        <v>0.10923005565862698</v>
      </c>
      <c r="G533" s="56">
        <v>22904.45</v>
      </c>
      <c r="H533" s="15">
        <f t="shared" si="16"/>
        <v>0</v>
      </c>
    </row>
    <row r="534" spans="2:8" x14ac:dyDescent="0.35">
      <c r="B534" s="57">
        <v>45893</v>
      </c>
      <c r="C534" s="56">
        <v>14791</v>
      </c>
      <c r="D534" s="15">
        <f t="shared" si="17"/>
        <v>3.0803540316398426E-2</v>
      </c>
      <c r="G534" s="56">
        <v>22904.45</v>
      </c>
      <c r="H534" s="15">
        <f t="shared" si="16"/>
        <v>0</v>
      </c>
    </row>
    <row r="535" spans="2:8" x14ac:dyDescent="0.35">
      <c r="B535" s="57">
        <v>45900</v>
      </c>
      <c r="C535" s="56">
        <v>14895</v>
      </c>
      <c r="D535" s="15">
        <f t="shared" si="17"/>
        <v>7.0313028192821037E-3</v>
      </c>
      <c r="G535" s="56">
        <v>22904.45</v>
      </c>
      <c r="H535" s="15">
        <f t="shared" si="16"/>
        <v>0</v>
      </c>
    </row>
    <row r="536" spans="2:8" x14ac:dyDescent="0.35">
      <c r="B536" s="57">
        <v>45901</v>
      </c>
      <c r="C536" s="56">
        <v>11740.55</v>
      </c>
      <c r="D536" s="15">
        <f t="shared" si="17"/>
        <v>-0.21177912051023839</v>
      </c>
      <c r="G536" s="56">
        <v>22904.45</v>
      </c>
      <c r="H536" s="15">
        <f t="shared" si="16"/>
        <v>0</v>
      </c>
    </row>
    <row r="537" spans="2:8" x14ac:dyDescent="0.35">
      <c r="B537" s="57">
        <v>45907</v>
      </c>
      <c r="C537" s="56">
        <v>15325</v>
      </c>
      <c r="D537" s="15">
        <f t="shared" si="17"/>
        <v>0.3053051177329853</v>
      </c>
      <c r="G537" s="56">
        <v>22904.45</v>
      </c>
      <c r="H537" s="15">
        <f t="shared" si="16"/>
        <v>0</v>
      </c>
    </row>
    <row r="538" spans="2:8" x14ac:dyDescent="0.35">
      <c r="B538" s="57">
        <v>45914</v>
      </c>
      <c r="C538" s="56">
        <v>15864</v>
      </c>
      <c r="D538" s="15">
        <f t="shared" si="17"/>
        <v>3.5171288743882645E-2</v>
      </c>
      <c r="G538" s="56">
        <v>22904.45</v>
      </c>
      <c r="H538" s="15">
        <f t="shared" si="16"/>
        <v>0</v>
      </c>
    </row>
    <row r="539" spans="2:8" x14ac:dyDescent="0.35">
      <c r="B539" s="57">
        <v>45921</v>
      </c>
      <c r="C539" s="56">
        <v>16286</v>
      </c>
      <c r="D539" s="15">
        <f t="shared" si="17"/>
        <v>2.6601109430156367E-2</v>
      </c>
      <c r="G539" s="56">
        <v>22904.45</v>
      </c>
      <c r="H539" s="15">
        <f t="shared" si="16"/>
        <v>0</v>
      </c>
    </row>
    <row r="540" spans="2:8" x14ac:dyDescent="0.35">
      <c r="B540" s="57">
        <v>45928</v>
      </c>
      <c r="C540" s="56">
        <v>15806</v>
      </c>
      <c r="D540" s="15">
        <f t="shared" si="17"/>
        <v>-2.9473167137418654E-2</v>
      </c>
      <c r="G540" s="56">
        <v>22904.45</v>
      </c>
      <c r="H540" s="15">
        <f t="shared" si="16"/>
        <v>0</v>
      </c>
    </row>
    <row r="541" spans="2:8" x14ac:dyDescent="0.35">
      <c r="B541" s="57">
        <v>45931</v>
      </c>
      <c r="C541" s="56">
        <v>11631.1</v>
      </c>
      <c r="D541" s="15">
        <f t="shared" si="17"/>
        <v>-0.26413387321270398</v>
      </c>
      <c r="G541" s="56">
        <v>22904.45</v>
      </c>
      <c r="H541" s="15">
        <f t="shared" si="16"/>
        <v>0</v>
      </c>
    </row>
    <row r="542" spans="2:8" x14ac:dyDescent="0.35">
      <c r="B542" s="57">
        <v>45932</v>
      </c>
      <c r="C542" s="56">
        <v>12900.75</v>
      </c>
      <c r="D542" s="15">
        <f t="shared" si="17"/>
        <v>0.1091599246846815</v>
      </c>
      <c r="G542" s="56">
        <v>22904.45</v>
      </c>
      <c r="H542" s="15">
        <f t="shared" si="16"/>
        <v>0</v>
      </c>
    </row>
    <row r="543" spans="2:8" x14ac:dyDescent="0.35">
      <c r="B543" s="57">
        <v>45933</v>
      </c>
      <c r="C543" s="56">
        <v>11586.05</v>
      </c>
      <c r="D543" s="15">
        <f t="shared" si="17"/>
        <v>-0.10190880375171996</v>
      </c>
      <c r="G543" s="56">
        <v>22904.45</v>
      </c>
      <c r="H543" s="15">
        <f t="shared" si="16"/>
        <v>0</v>
      </c>
    </row>
    <row r="544" spans="2:8" x14ac:dyDescent="0.35">
      <c r="B544" s="57">
        <v>45935</v>
      </c>
      <c r="C544" s="56">
        <v>16265</v>
      </c>
      <c r="D544" s="15">
        <f t="shared" si="17"/>
        <v>0.40384341514148492</v>
      </c>
      <c r="G544" s="56">
        <v>22904.45</v>
      </c>
      <c r="H544" s="15">
        <f t="shared" si="16"/>
        <v>0</v>
      </c>
    </row>
    <row r="545" spans="2:8" x14ac:dyDescent="0.35">
      <c r="B545" s="57">
        <v>45942</v>
      </c>
      <c r="C545" s="56">
        <v>16401</v>
      </c>
      <c r="D545" s="15">
        <f t="shared" si="17"/>
        <v>8.3615124500460158E-3</v>
      </c>
      <c r="G545" s="56">
        <v>22904.45</v>
      </c>
      <c r="H545" s="15">
        <f t="shared" si="16"/>
        <v>0</v>
      </c>
    </row>
    <row r="546" spans="2:8" x14ac:dyDescent="0.35">
      <c r="B546" s="57">
        <v>45949</v>
      </c>
      <c r="C546" s="56">
        <v>16274</v>
      </c>
      <c r="D546" s="15">
        <f t="shared" si="17"/>
        <v>-7.7434302786415499E-3</v>
      </c>
      <c r="G546" s="56">
        <v>22904.45</v>
      </c>
      <c r="H546" s="15">
        <f t="shared" si="16"/>
        <v>0</v>
      </c>
    </row>
    <row r="547" spans="2:8" x14ac:dyDescent="0.35">
      <c r="B547" s="57">
        <v>45956</v>
      </c>
      <c r="C547" s="56">
        <v>16186</v>
      </c>
      <c r="D547" s="15">
        <f t="shared" si="17"/>
        <v>-5.4073983040432427E-3</v>
      </c>
      <c r="G547" s="56">
        <v>22904.45</v>
      </c>
      <c r="H547" s="15">
        <f t="shared" si="16"/>
        <v>0</v>
      </c>
    </row>
    <row r="548" spans="2:8" x14ac:dyDescent="0.35">
      <c r="B548" s="57">
        <v>45963</v>
      </c>
      <c r="C548" s="56">
        <v>15479</v>
      </c>
      <c r="D548" s="15">
        <f t="shared" si="17"/>
        <v>-4.3679723217595501E-2</v>
      </c>
      <c r="G548" s="56">
        <v>22904.45</v>
      </c>
      <c r="H548" s="15">
        <f t="shared" si="16"/>
        <v>0</v>
      </c>
    </row>
    <row r="549" spans="2:8" x14ac:dyDescent="0.35">
      <c r="B549" s="57">
        <v>45963</v>
      </c>
      <c r="C549" s="56">
        <v>12724.35</v>
      </c>
      <c r="D549" s="15">
        <f t="shared" si="17"/>
        <v>-0.17796046256218101</v>
      </c>
      <c r="G549" s="56">
        <v>22904.45</v>
      </c>
      <c r="H549" s="15">
        <f t="shared" si="16"/>
        <v>0</v>
      </c>
    </row>
    <row r="550" spans="2:8" x14ac:dyDescent="0.35">
      <c r="B550" s="57">
        <v>45964</v>
      </c>
      <c r="C550" s="56">
        <v>11646.95</v>
      </c>
      <c r="D550" s="15">
        <f t="shared" si="17"/>
        <v>-8.4672301532101812E-2</v>
      </c>
      <c r="G550" s="56">
        <v>22904.45</v>
      </c>
      <c r="H550" s="15">
        <f t="shared" si="16"/>
        <v>0</v>
      </c>
    </row>
    <row r="551" spans="2:8" x14ac:dyDescent="0.35">
      <c r="B551" s="57">
        <v>45970</v>
      </c>
      <c r="C551" s="56">
        <v>15684</v>
      </c>
      <c r="D551" s="15">
        <f t="shared" si="17"/>
        <v>0.34661864264893372</v>
      </c>
      <c r="G551" s="56">
        <v>22904.45</v>
      </c>
      <c r="H551" s="15">
        <f t="shared" si="16"/>
        <v>0</v>
      </c>
    </row>
    <row r="552" spans="2:8" x14ac:dyDescent="0.35">
      <c r="B552" s="57">
        <v>45977</v>
      </c>
      <c r="C552" s="56">
        <v>15977</v>
      </c>
      <c r="D552" s="15">
        <f t="shared" si="17"/>
        <v>1.8681458811527607E-2</v>
      </c>
      <c r="G552" s="56">
        <v>22904.45</v>
      </c>
      <c r="H552" s="15">
        <f t="shared" si="16"/>
        <v>0</v>
      </c>
    </row>
    <row r="553" spans="2:8" x14ac:dyDescent="0.35">
      <c r="B553" s="57">
        <v>45984</v>
      </c>
      <c r="C553" s="56">
        <v>15900</v>
      </c>
      <c r="D553" s="15">
        <f t="shared" si="17"/>
        <v>-4.8194279276460028E-3</v>
      </c>
      <c r="G553" s="56">
        <v>22904.45</v>
      </c>
      <c r="H553" s="15">
        <f t="shared" si="16"/>
        <v>0</v>
      </c>
    </row>
    <row r="554" spans="2:8" x14ac:dyDescent="0.35">
      <c r="B554" s="57">
        <v>45991</v>
      </c>
      <c r="C554" s="56">
        <v>16282</v>
      </c>
      <c r="D554" s="15">
        <f t="shared" si="17"/>
        <v>2.4025157232704375E-2</v>
      </c>
      <c r="G554" s="56">
        <v>22904.45</v>
      </c>
      <c r="H554" s="15">
        <f t="shared" si="16"/>
        <v>0</v>
      </c>
    </row>
    <row r="555" spans="2:8" x14ac:dyDescent="0.35">
      <c r="B555" s="57">
        <v>45993</v>
      </c>
      <c r="C555" s="56">
        <v>12655.55</v>
      </c>
      <c r="D555" s="15">
        <f t="shared" si="17"/>
        <v>-0.22272755189780125</v>
      </c>
      <c r="G555" s="56">
        <v>22904.45</v>
      </c>
      <c r="H555" s="15">
        <f t="shared" si="16"/>
        <v>0</v>
      </c>
    </row>
    <row r="556" spans="2:8" x14ac:dyDescent="0.35">
      <c r="B556" s="57">
        <v>45994</v>
      </c>
      <c r="C556" s="56">
        <v>11640.1</v>
      </c>
      <c r="D556" s="15">
        <f t="shared" si="17"/>
        <v>-8.0237524248254588E-2</v>
      </c>
      <c r="G556" s="56">
        <v>22904.45</v>
      </c>
      <c r="H556" s="15">
        <f t="shared" si="16"/>
        <v>0</v>
      </c>
    </row>
    <row r="557" spans="2:8" x14ac:dyDescent="0.35">
      <c r="B557" s="57">
        <v>45998</v>
      </c>
      <c r="C557" s="56">
        <v>16522</v>
      </c>
      <c r="D557" s="15">
        <f t="shared" si="17"/>
        <v>0.41940361337101906</v>
      </c>
      <c r="G557" s="56">
        <v>22904.45</v>
      </c>
      <c r="H557" s="15">
        <f t="shared" si="16"/>
        <v>0</v>
      </c>
    </row>
    <row r="558" spans="2:8" x14ac:dyDescent="0.35">
      <c r="B558" s="57">
        <v>46005</v>
      </c>
      <c r="C558" s="56">
        <v>16414</v>
      </c>
      <c r="D558" s="15">
        <f t="shared" si="17"/>
        <v>-6.5367388935964055E-3</v>
      </c>
      <c r="G558" s="56">
        <v>22904.45</v>
      </c>
      <c r="H558" s="15">
        <f t="shared" si="16"/>
        <v>0</v>
      </c>
    </row>
    <row r="559" spans="2:8" x14ac:dyDescent="0.35">
      <c r="B559" s="57">
        <v>46012</v>
      </c>
      <c r="C559" s="56">
        <v>16596</v>
      </c>
      <c r="D559" s="15">
        <f t="shared" si="17"/>
        <v>1.1088095528207553E-2</v>
      </c>
      <c r="G559" s="56">
        <v>22904.45</v>
      </c>
      <c r="H559" s="15">
        <f t="shared" si="16"/>
        <v>0</v>
      </c>
    </row>
    <row r="560" spans="2:8" x14ac:dyDescent="0.35">
      <c r="B560" s="57">
        <v>46019</v>
      </c>
      <c r="C560" s="56">
        <v>16960</v>
      </c>
      <c r="D560" s="15">
        <f t="shared" si="17"/>
        <v>2.1932995902627095E-2</v>
      </c>
      <c r="G560" s="56">
        <v>22904.45</v>
      </c>
      <c r="H560" s="15">
        <f t="shared" si="16"/>
        <v>0</v>
      </c>
    </row>
    <row r="561" spans="2:8" x14ac:dyDescent="0.35">
      <c r="B561" s="57">
        <v>46026</v>
      </c>
      <c r="C561" s="56">
        <v>16501</v>
      </c>
      <c r="D561" s="15">
        <f t="shared" si="17"/>
        <v>-2.7063679245282968E-2</v>
      </c>
      <c r="G561" s="56">
        <v>22904.45</v>
      </c>
      <c r="H561" s="15">
        <f t="shared" si="16"/>
        <v>0</v>
      </c>
    </row>
    <row r="562" spans="2:8" x14ac:dyDescent="0.35">
      <c r="B562" s="57">
        <v>46033</v>
      </c>
      <c r="C562" s="56">
        <v>15859</v>
      </c>
      <c r="D562" s="15">
        <f t="shared" si="17"/>
        <v>-3.8906732925277243E-2</v>
      </c>
      <c r="G562" s="56">
        <v>22904.45</v>
      </c>
      <c r="H562" s="15">
        <f t="shared" si="16"/>
        <v>0</v>
      </c>
    </row>
    <row r="563" spans="2:8" x14ac:dyDescent="0.35">
      <c r="B563" s="57">
        <v>46040</v>
      </c>
      <c r="C563" s="56">
        <v>15469</v>
      </c>
      <c r="D563" s="15">
        <f t="shared" si="17"/>
        <v>-2.4591714483889304E-2</v>
      </c>
      <c r="G563" s="56">
        <v>22904.45</v>
      </c>
      <c r="H563" s="15">
        <f t="shared" si="16"/>
        <v>0</v>
      </c>
    </row>
    <row r="564" spans="2:8" x14ac:dyDescent="0.35">
      <c r="B564" s="57">
        <v>46047</v>
      </c>
      <c r="C564" s="56">
        <v>14599</v>
      </c>
      <c r="D564" s="15">
        <f t="shared" si="17"/>
        <v>-5.6241515288641852E-2</v>
      </c>
      <c r="G564" s="56">
        <v>22904.45</v>
      </c>
      <c r="H564" s="15">
        <f t="shared" si="16"/>
        <v>0</v>
      </c>
    </row>
    <row r="565" spans="2:8" x14ac:dyDescent="0.35">
      <c r="B565" s="57">
        <v>46054</v>
      </c>
      <c r="C565" s="56">
        <v>14997</v>
      </c>
      <c r="D565" s="15">
        <f t="shared" si="17"/>
        <v>2.7262141242550886E-2</v>
      </c>
      <c r="G565" s="56">
        <v>22904.45</v>
      </c>
      <c r="H565" s="15">
        <f t="shared" si="16"/>
        <v>0</v>
      </c>
    </row>
    <row r="566" spans="2:8" x14ac:dyDescent="0.35">
      <c r="B566" s="57">
        <v>46061</v>
      </c>
      <c r="C566" s="56">
        <v>15237</v>
      </c>
      <c r="D566" s="15">
        <f t="shared" si="17"/>
        <v>1.6003200640128057E-2</v>
      </c>
      <c r="G566" s="56">
        <v>22904.45</v>
      </c>
      <c r="H566" s="15">
        <f t="shared" si="16"/>
        <v>0</v>
      </c>
    </row>
  </sheetData>
  <mergeCells count="1">
    <mergeCell ref="G5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8728-5C57-4D19-8CE3-5C71ACF3DB24}">
  <sheetPr>
    <tabColor rgb="FF002060"/>
  </sheetPr>
  <dimension ref="B1:H29"/>
  <sheetViews>
    <sheetView showGridLines="0" workbookViewId="0">
      <selection activeCell="H5" sqref="H5"/>
    </sheetView>
  </sheetViews>
  <sheetFormatPr defaultRowHeight="14.5" x14ac:dyDescent="0.35"/>
  <cols>
    <col min="1" max="1" width="1.81640625" customWidth="1"/>
    <col min="2" max="2" width="15.6328125" bestFit="1" customWidth="1"/>
    <col min="6" max="6" width="17.7265625" bestFit="1" customWidth="1"/>
    <col min="8" max="8" width="20.36328125" bestFit="1" customWidth="1"/>
  </cols>
  <sheetData>
    <row r="1" spans="2:8" x14ac:dyDescent="0.35">
      <c r="B1" s="9" t="s">
        <v>249</v>
      </c>
      <c r="C1" s="45"/>
      <c r="D1" s="45"/>
      <c r="E1" s="45"/>
      <c r="F1" s="45"/>
      <c r="G1" s="45"/>
      <c r="H1" s="45"/>
    </row>
    <row r="2" spans="2:8" x14ac:dyDescent="0.35">
      <c r="B2" s="77" t="s">
        <v>243</v>
      </c>
      <c r="C2" s="78" t="s">
        <v>244</v>
      </c>
    </row>
    <row r="3" spans="2:8" x14ac:dyDescent="0.35">
      <c r="B3" s="33">
        <v>2000</v>
      </c>
      <c r="C3" s="15">
        <v>-0.14649999999999999</v>
      </c>
      <c r="F3" t="s">
        <v>245</v>
      </c>
      <c r="G3" s="29">
        <f>AVERAGE(C3:C28)</f>
        <v>0.1514923076923077</v>
      </c>
    </row>
    <row r="4" spans="2:8" ht="16.5" x14ac:dyDescent="0.35">
      <c r="B4" s="33">
        <v>2001</v>
      </c>
      <c r="C4" s="15">
        <v>-0.1618</v>
      </c>
      <c r="F4" t="s">
        <v>246</v>
      </c>
      <c r="G4" s="28" t="s">
        <v>247</v>
      </c>
      <c r="H4" s="2" t="s">
        <v>310</v>
      </c>
    </row>
    <row r="5" spans="2:8" x14ac:dyDescent="0.35">
      <c r="B5" s="33">
        <v>2002</v>
      </c>
      <c r="C5" s="15">
        <v>3.2500000000000001E-2</v>
      </c>
      <c r="F5" s="66" t="s">
        <v>248</v>
      </c>
      <c r="G5" s="75">
        <f>SUM(G3:G4)</f>
        <v>0.1514923076923077</v>
      </c>
    </row>
    <row r="6" spans="2:8" x14ac:dyDescent="0.35">
      <c r="B6" s="33">
        <v>2003</v>
      </c>
      <c r="C6" s="15">
        <v>0.71900000000000008</v>
      </c>
    </row>
    <row r="7" spans="2:8" x14ac:dyDescent="0.35">
      <c r="B7" s="33">
        <v>2004</v>
      </c>
      <c r="C7" s="15">
        <v>0.10679999999999999</v>
      </c>
    </row>
    <row r="8" spans="2:8" x14ac:dyDescent="0.35">
      <c r="B8" s="33">
        <v>2005</v>
      </c>
      <c r="C8" s="15">
        <v>0.36340000000000006</v>
      </c>
    </row>
    <row r="9" spans="2:8" x14ac:dyDescent="0.35">
      <c r="B9" s="33">
        <v>2006</v>
      </c>
      <c r="C9" s="15">
        <v>0.39829999999999999</v>
      </c>
    </row>
    <row r="10" spans="2:8" x14ac:dyDescent="0.35">
      <c r="B10" s="33">
        <v>2007</v>
      </c>
      <c r="C10" s="15">
        <v>0.54770000000000008</v>
      </c>
    </row>
    <row r="11" spans="2:8" x14ac:dyDescent="0.35">
      <c r="B11" s="33">
        <v>2008</v>
      </c>
      <c r="C11" s="15">
        <v>-0.51790000000000003</v>
      </c>
    </row>
    <row r="12" spans="2:8" x14ac:dyDescent="0.35">
      <c r="B12" s="33">
        <v>2009</v>
      </c>
      <c r="C12" s="15">
        <v>0.75760000000000005</v>
      </c>
    </row>
    <row r="13" spans="2:8" x14ac:dyDescent="0.35">
      <c r="B13" s="33">
        <v>2010</v>
      </c>
      <c r="C13" s="15">
        <v>0.17949999999999999</v>
      </c>
    </row>
    <row r="14" spans="2:8" x14ac:dyDescent="0.35">
      <c r="B14" s="33">
        <v>2011</v>
      </c>
      <c r="C14" s="15">
        <v>-0.2462</v>
      </c>
    </row>
    <row r="15" spans="2:8" x14ac:dyDescent="0.35">
      <c r="B15" s="33">
        <v>2012</v>
      </c>
      <c r="C15" s="15">
        <v>0.27699999999999997</v>
      </c>
    </row>
    <row r="16" spans="2:8" x14ac:dyDescent="0.35">
      <c r="B16" s="33">
        <v>2013</v>
      </c>
      <c r="C16" s="15">
        <v>6.7599999999999993E-2</v>
      </c>
    </row>
    <row r="17" spans="2:3" x14ac:dyDescent="0.35">
      <c r="B17" s="33">
        <v>2014</v>
      </c>
      <c r="C17" s="15">
        <v>0.31390000000000001</v>
      </c>
    </row>
    <row r="18" spans="2:3" x14ac:dyDescent="0.35">
      <c r="B18" s="33">
        <v>2015</v>
      </c>
      <c r="C18" s="15">
        <v>-4.0599999999999997E-2</v>
      </c>
    </row>
    <row r="19" spans="2:3" x14ac:dyDescent="0.35">
      <c r="B19" s="33">
        <v>2016</v>
      </c>
      <c r="C19" s="15">
        <v>3.0099999999999998E-2</v>
      </c>
    </row>
    <row r="20" spans="2:3" x14ac:dyDescent="0.35">
      <c r="B20" s="33">
        <v>2017</v>
      </c>
      <c r="C20" s="15">
        <v>0.28649999999999998</v>
      </c>
    </row>
    <row r="21" spans="2:3" x14ac:dyDescent="0.35">
      <c r="B21" s="33">
        <v>2018</v>
      </c>
      <c r="C21" s="15">
        <v>3.15E-2</v>
      </c>
    </row>
    <row r="22" spans="2:3" x14ac:dyDescent="0.35">
      <c r="B22" s="33">
        <v>2019</v>
      </c>
      <c r="C22" s="15">
        <v>0.1202</v>
      </c>
    </row>
    <row r="23" spans="2:3" x14ac:dyDescent="0.35">
      <c r="B23" s="33">
        <v>2020</v>
      </c>
      <c r="C23" s="15">
        <v>0.14899999999999999</v>
      </c>
    </row>
    <row r="24" spans="2:3" x14ac:dyDescent="0.35">
      <c r="B24" s="33">
        <v>2021</v>
      </c>
      <c r="C24" s="15">
        <v>0.2412</v>
      </c>
    </row>
    <row r="25" spans="2:3" x14ac:dyDescent="0.35">
      <c r="B25" s="33">
        <v>2022</v>
      </c>
      <c r="C25" s="15">
        <v>4.3200000000000002E-2</v>
      </c>
    </row>
    <row r="26" spans="2:3" x14ac:dyDescent="0.35">
      <c r="B26" s="33">
        <v>2023</v>
      </c>
      <c r="C26" s="15">
        <v>0.19420000000000001</v>
      </c>
    </row>
    <row r="27" spans="2:3" x14ac:dyDescent="0.35">
      <c r="B27" s="33">
        <v>2024</v>
      </c>
      <c r="C27" s="15">
        <v>8.7499999999999994E-2</v>
      </c>
    </row>
    <row r="28" spans="2:3" x14ac:dyDescent="0.35">
      <c r="B28" s="33">
        <v>2025</v>
      </c>
      <c r="C28" s="15">
        <v>0.1051</v>
      </c>
    </row>
    <row r="29" spans="2:3" x14ac:dyDescent="0.35">
      <c r="B29" s="33">
        <v>2026</v>
      </c>
      <c r="C29" s="15">
        <v>0.1051</v>
      </c>
    </row>
  </sheetData>
  <pageMargins left="0.7" right="0.7" top="0.75" bottom="0.75" header="0.3" footer="0.3"/>
  <ignoredErrors>
    <ignoredError sqref="G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ECB5-DC71-40CC-89FB-06EA1DCB3FAF}">
  <sheetPr>
    <tabColor rgb="FF002060"/>
  </sheetPr>
  <dimension ref="A2:K63"/>
  <sheetViews>
    <sheetView showGridLines="0" zoomScale="91" zoomScaleNormal="100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M19" sqref="M19"/>
    </sheetView>
  </sheetViews>
  <sheetFormatPr defaultRowHeight="14.5" x14ac:dyDescent="0.35"/>
  <cols>
    <col min="1" max="1" width="1.81640625" customWidth="1"/>
    <col min="2" max="2" width="28.54296875" bestFit="1" customWidth="1"/>
    <col min="9" max="10" width="13.1796875" bestFit="1" customWidth="1"/>
  </cols>
  <sheetData>
    <row r="2" spans="2:11" x14ac:dyDescent="0.35">
      <c r="B2" s="9" t="s">
        <v>255</v>
      </c>
      <c r="C2" s="45"/>
      <c r="D2" s="45"/>
      <c r="E2" s="45"/>
      <c r="F2" s="45"/>
      <c r="G2" s="10">
        <f>HISTORIACLFINANCIALS!$H$3</f>
        <v>44286</v>
      </c>
      <c r="H2" s="10">
        <f>HISTORIACLFINANCIALS!I3</f>
        <v>44651</v>
      </c>
      <c r="I2" s="10">
        <f>HISTORIACLFINANCIALS!J3</f>
        <v>45016</v>
      </c>
      <c r="J2" s="10">
        <f>HISTORIACLFINANCIALS!K3</f>
        <v>45382</v>
      </c>
      <c r="K2" s="10">
        <f>HISTORIACLFINANCIALS!L3</f>
        <v>45747</v>
      </c>
    </row>
    <row r="4" spans="2:11" x14ac:dyDescent="0.35">
      <c r="B4" s="2" t="s">
        <v>256</v>
      </c>
    </row>
    <row r="5" spans="2:11" x14ac:dyDescent="0.35">
      <c r="B5" s="67" t="str">
        <f>'RAW-FS'!B36</f>
        <v>Inventories</v>
      </c>
      <c r="C5" s="67"/>
      <c r="D5" s="67"/>
      <c r="E5" s="67"/>
      <c r="F5" s="67"/>
      <c r="G5" s="93">
        <f>'RAW-FS'!J36</f>
        <v>3049</v>
      </c>
      <c r="H5" s="93">
        <f>'RAW-FS'!K36</f>
        <v>3532</v>
      </c>
      <c r="I5" s="93">
        <f>'RAW-FS'!L36</f>
        <v>4284</v>
      </c>
      <c r="J5" s="93">
        <f>'RAW-FS'!M36</f>
        <v>5318</v>
      </c>
      <c r="K5" s="93">
        <f>'RAW-FS'!N36</f>
        <v>6913</v>
      </c>
    </row>
    <row r="6" spans="2:11" x14ac:dyDescent="0.35">
      <c r="B6" s="67" t="str">
        <f>'RAW-FS'!B37</f>
        <v>Trade receivables</v>
      </c>
      <c r="C6" s="67"/>
      <c r="D6" s="67"/>
      <c r="E6" s="67"/>
      <c r="F6" s="67"/>
      <c r="G6" s="93">
        <f>'RAW-FS'!J37</f>
        <v>1280</v>
      </c>
      <c r="H6" s="93">
        <f>'RAW-FS'!K37</f>
        <v>2034</v>
      </c>
      <c r="I6" s="93">
        <f>'RAW-FS'!L37</f>
        <v>3301</v>
      </c>
      <c r="J6" s="93">
        <f>'RAW-FS'!M37</f>
        <v>4597</v>
      </c>
      <c r="K6" s="93">
        <f>'RAW-FS'!N37</f>
        <v>6540</v>
      </c>
    </row>
    <row r="7" spans="2:11" x14ac:dyDescent="0.35">
      <c r="B7" s="67" t="str">
        <f>'RAW-FS'!B39</f>
        <v>Loans n Advances</v>
      </c>
      <c r="C7" s="67"/>
      <c r="D7" s="67"/>
      <c r="E7" s="67"/>
      <c r="F7" s="67"/>
      <c r="G7" s="93">
        <f>'RAW-FS'!J39</f>
        <v>1412</v>
      </c>
      <c r="H7" s="93">
        <f>'RAW-FS'!K39</f>
        <v>2880</v>
      </c>
      <c r="I7" s="93">
        <f>'RAW-FS'!L39</f>
        <v>2828</v>
      </c>
      <c r="J7" s="93">
        <f>'RAW-FS'!M39</f>
        <v>266</v>
      </c>
      <c r="K7" s="93">
        <f>'RAW-FS'!N39</f>
        <v>851</v>
      </c>
    </row>
    <row r="8" spans="2:11" x14ac:dyDescent="0.35">
      <c r="B8" t="str">
        <f>'RAW-FS'!B40</f>
        <v>Other asset items</v>
      </c>
      <c r="G8" s="94">
        <f>'RAW-FS'!J40</f>
        <v>3158</v>
      </c>
      <c r="H8" s="94">
        <f>'RAW-FS'!K40</f>
        <v>4448</v>
      </c>
      <c r="I8" s="94">
        <f>'RAW-FS'!L40</f>
        <v>4223</v>
      </c>
      <c r="J8" s="94">
        <f>'RAW-FS'!M40</f>
        <v>9400</v>
      </c>
      <c r="K8" s="94">
        <f>'RAW-FS'!N40</f>
        <v>9937</v>
      </c>
    </row>
    <row r="9" spans="2:11" ht="15" thickBot="1" x14ac:dyDescent="0.4">
      <c r="B9" s="80" t="s">
        <v>289</v>
      </c>
      <c r="C9" s="101"/>
      <c r="D9" s="101"/>
      <c r="E9" s="101"/>
      <c r="F9" s="101"/>
      <c r="G9" s="99">
        <f>SUM(G5:G8)</f>
        <v>8899</v>
      </c>
      <c r="H9" s="99">
        <f t="shared" ref="H9:K9" si="0">SUM(H5:H8)</f>
        <v>12894</v>
      </c>
      <c r="I9" s="99">
        <f t="shared" si="0"/>
        <v>14636</v>
      </c>
      <c r="J9" s="99">
        <f t="shared" si="0"/>
        <v>19581</v>
      </c>
      <c r="K9" s="99">
        <f t="shared" si="0"/>
        <v>24241</v>
      </c>
    </row>
    <row r="11" spans="2:11" x14ac:dyDescent="0.35">
      <c r="B11" s="2" t="s">
        <v>290</v>
      </c>
    </row>
    <row r="12" spans="2:11" x14ac:dyDescent="0.35">
      <c r="B12" s="67" t="str">
        <f>'RAW-FS'!B14</f>
        <v>Trade Payables</v>
      </c>
      <c r="C12" s="67"/>
      <c r="D12" s="67"/>
      <c r="E12" s="67"/>
      <c r="F12" s="67"/>
      <c r="G12" s="93">
        <f>'RAW-FS'!C14</f>
        <v>4999</v>
      </c>
      <c r="H12" s="93">
        <f>'RAW-FS'!D14</f>
        <v>5514</v>
      </c>
      <c r="I12" s="93">
        <f>'RAW-FS'!E14</f>
        <v>7409</v>
      </c>
      <c r="J12" s="93">
        <f>'RAW-FS'!F14</f>
        <v>8369</v>
      </c>
      <c r="K12" s="93">
        <f>'RAW-FS'!G14</f>
        <v>10499</v>
      </c>
    </row>
    <row r="13" spans="2:11" x14ac:dyDescent="0.35">
      <c r="B13" s="67" t="str">
        <f>'RAW-FS'!B15</f>
        <v>Advance from Customers</v>
      </c>
      <c r="C13" s="67"/>
      <c r="D13" s="67"/>
      <c r="E13" s="67"/>
      <c r="F13" s="67"/>
      <c r="G13" s="93">
        <f>'RAW-FS'!C15</f>
        <v>209</v>
      </c>
      <c r="H13" s="93">
        <f>'RAW-FS'!D15</f>
        <v>428</v>
      </c>
      <c r="I13" s="93">
        <f>'RAW-FS'!E15</f>
        <v>506</v>
      </c>
      <c r="J13" s="93">
        <f>'RAW-FS'!F15</f>
        <v>941</v>
      </c>
      <c r="K13" s="93">
        <f>'RAW-FS'!G15</f>
        <v>1152</v>
      </c>
    </row>
    <row r="14" spans="2:11" x14ac:dyDescent="0.35">
      <c r="B14" s="102" t="str">
        <f>'RAW-FS'!B16</f>
        <v>Other liability items</v>
      </c>
      <c r="C14" s="102"/>
      <c r="D14" s="102"/>
      <c r="E14" s="102"/>
      <c r="F14" s="102"/>
      <c r="G14" s="103">
        <f>'RAW-FS'!C16</f>
        <v>2755</v>
      </c>
      <c r="H14" s="103">
        <f>'RAW-FS'!D16</f>
        <v>3538</v>
      </c>
      <c r="I14" s="103">
        <f>'RAW-FS'!E16</f>
        <v>3950</v>
      </c>
      <c r="J14" s="103">
        <f>'RAW-FS'!F16</f>
        <v>5076</v>
      </c>
      <c r="K14" s="103">
        <f>'RAW-FS'!G16</f>
        <v>5900</v>
      </c>
    </row>
    <row r="15" spans="2:11" ht="15" thickBot="1" x14ac:dyDescent="0.4">
      <c r="B15" s="80" t="s">
        <v>291</v>
      </c>
      <c r="C15" s="101"/>
      <c r="D15" s="101"/>
      <c r="E15" s="101"/>
      <c r="F15" s="101"/>
      <c r="G15" s="99">
        <f>SUM(G12:G14)</f>
        <v>7963</v>
      </c>
      <c r="H15" s="99">
        <f t="shared" ref="H15:K15" si="1">SUM(H12:H14)</f>
        <v>9480</v>
      </c>
      <c r="I15" s="99">
        <f t="shared" si="1"/>
        <v>11865</v>
      </c>
      <c r="J15" s="99">
        <f t="shared" si="1"/>
        <v>14386</v>
      </c>
      <c r="K15" s="99">
        <f t="shared" si="1"/>
        <v>17551</v>
      </c>
    </row>
    <row r="17" spans="1:11" ht="15" thickBot="1" x14ac:dyDescent="0.4">
      <c r="A17" s="2" t="s">
        <v>57</v>
      </c>
      <c r="B17" s="80" t="s">
        <v>292</v>
      </c>
      <c r="C17" s="101"/>
      <c r="D17" s="101"/>
      <c r="E17" s="101"/>
      <c r="F17" s="101"/>
      <c r="G17" s="99">
        <f>G9-G15</f>
        <v>936</v>
      </c>
      <c r="H17" s="99">
        <f t="shared" ref="H17:K17" si="2">H9-H15</f>
        <v>3414</v>
      </c>
      <c r="I17" s="99">
        <f t="shared" si="2"/>
        <v>2771</v>
      </c>
      <c r="J17" s="99">
        <f t="shared" si="2"/>
        <v>5195</v>
      </c>
      <c r="K17" s="99">
        <f t="shared" si="2"/>
        <v>6690</v>
      </c>
    </row>
    <row r="19" spans="1:11" x14ac:dyDescent="0.35">
      <c r="B19" s="2" t="s">
        <v>293</v>
      </c>
    </row>
    <row r="20" spans="1:11" x14ac:dyDescent="0.35">
      <c r="B20" s="105" t="str">
        <f>'RAW-FS'!B20</f>
        <v>Land</v>
      </c>
      <c r="C20" s="105"/>
      <c r="D20" s="105"/>
      <c r="E20" s="105"/>
      <c r="F20" s="105"/>
      <c r="G20" s="106">
        <f>'RAW-FS'!J20</f>
        <v>4566</v>
      </c>
      <c r="H20" s="106">
        <f>'RAW-FS'!K20</f>
        <v>4592</v>
      </c>
      <c r="I20" s="106">
        <f>'RAW-FS'!L20</f>
        <v>6757</v>
      </c>
      <c r="J20" s="106">
        <f>'RAW-FS'!M20</f>
        <v>6896</v>
      </c>
      <c r="K20" s="106">
        <f>'RAW-FS'!N20</f>
        <v>6921</v>
      </c>
    </row>
    <row r="21" spans="1:11" x14ac:dyDescent="0.35">
      <c r="B21" s="105" t="str">
        <f>'RAW-FS'!B21</f>
        <v>Building</v>
      </c>
      <c r="C21" s="105"/>
      <c r="D21" s="105"/>
      <c r="E21" s="105"/>
      <c r="F21" s="105"/>
      <c r="G21" s="106">
        <f>'RAW-FS'!J21</f>
        <v>2831</v>
      </c>
      <c r="H21" s="106">
        <f>'RAW-FS'!K21</f>
        <v>2955</v>
      </c>
      <c r="I21" s="106">
        <f>'RAW-FS'!L21</f>
        <v>3206</v>
      </c>
      <c r="J21" s="106">
        <f>'RAW-FS'!M21</f>
        <v>5604</v>
      </c>
      <c r="K21" s="106">
        <f>'RAW-FS'!N21</f>
        <v>8158</v>
      </c>
    </row>
    <row r="22" spans="1:11" x14ac:dyDescent="0.35">
      <c r="B22" s="105" t="str">
        <f>'RAW-FS'!B22</f>
        <v>Plant Machinery</v>
      </c>
      <c r="C22" s="105"/>
      <c r="D22" s="105"/>
      <c r="E22" s="105"/>
      <c r="F22" s="105"/>
      <c r="G22" s="106">
        <f>'RAW-FS'!J22</f>
        <v>22262</v>
      </c>
      <c r="H22" s="106">
        <f>'RAW-FS'!K22</f>
        <v>22712</v>
      </c>
      <c r="I22" s="106">
        <f>'RAW-FS'!L22</f>
        <v>26174</v>
      </c>
      <c r="J22" s="106">
        <f>'RAW-FS'!M22</f>
        <v>44745</v>
      </c>
      <c r="K22" s="106">
        <f>'RAW-FS'!N22</f>
        <v>51915</v>
      </c>
    </row>
    <row r="23" spans="1:11" x14ac:dyDescent="0.35">
      <c r="B23" s="105" t="str">
        <f>'RAW-FS'!B23</f>
        <v>Computers</v>
      </c>
      <c r="C23" s="105"/>
      <c r="D23" s="105"/>
      <c r="E23" s="105"/>
      <c r="F23" s="105"/>
      <c r="G23" s="106">
        <f>'RAW-FS'!J23</f>
        <v>292</v>
      </c>
      <c r="H23" s="106">
        <f>'RAW-FS'!K23</f>
        <v>324</v>
      </c>
      <c r="I23" s="106">
        <f>'RAW-FS'!L23</f>
        <v>368</v>
      </c>
      <c r="J23" s="106">
        <f>'RAW-FS'!M23</f>
        <v>601</v>
      </c>
      <c r="K23" s="106">
        <f>'RAW-FS'!N23</f>
        <v>698</v>
      </c>
    </row>
    <row r="24" spans="1:11" x14ac:dyDescent="0.35">
      <c r="B24" s="105" t="str">
        <f>'RAW-FS'!B24</f>
        <v>Furniture n fittings</v>
      </c>
      <c r="C24" s="105"/>
      <c r="D24" s="105"/>
      <c r="E24" s="105"/>
      <c r="F24" s="105"/>
      <c r="G24" s="106">
        <f>'RAW-FS'!J24</f>
        <v>403</v>
      </c>
      <c r="H24" s="106">
        <f>'RAW-FS'!K24</f>
        <v>445</v>
      </c>
      <c r="I24" s="106">
        <f>'RAW-FS'!L24</f>
        <v>485</v>
      </c>
      <c r="J24" s="106">
        <f>'RAW-FS'!M24</f>
        <v>636</v>
      </c>
      <c r="K24" s="106">
        <f>'RAW-FS'!N24</f>
        <v>698</v>
      </c>
    </row>
    <row r="25" spans="1:11" x14ac:dyDescent="0.35">
      <c r="B25" s="105" t="str">
        <f>'RAW-FS'!B25</f>
        <v>Railway sidings</v>
      </c>
      <c r="C25" s="105"/>
      <c r="D25" s="105"/>
      <c r="E25" s="105"/>
      <c r="F25" s="105"/>
      <c r="G25" s="106">
        <f>'RAW-FS'!J25</f>
        <v>0</v>
      </c>
      <c r="H25" s="106">
        <f>'RAW-FS'!K25</f>
        <v>0</v>
      </c>
      <c r="I25" s="106">
        <f>'RAW-FS'!L25</f>
        <v>73</v>
      </c>
      <c r="J25" s="106">
        <f>'RAW-FS'!M25</f>
        <v>74</v>
      </c>
      <c r="K25" s="106">
        <f>'RAW-FS'!N25</f>
        <v>94</v>
      </c>
    </row>
    <row r="26" spans="1:11" x14ac:dyDescent="0.35">
      <c r="B26" s="105" t="str">
        <f>'RAW-FS'!B26</f>
        <v>Vehicles</v>
      </c>
      <c r="C26" s="105"/>
      <c r="D26" s="105"/>
      <c r="E26" s="105"/>
      <c r="F26" s="105"/>
      <c r="G26" s="106">
        <f>'RAW-FS'!J26</f>
        <v>174</v>
      </c>
      <c r="H26" s="106">
        <f>'RAW-FS'!K26</f>
        <v>248</v>
      </c>
      <c r="I26" s="106">
        <f>'RAW-FS'!L26</f>
        <v>282</v>
      </c>
      <c r="J26" s="106">
        <f>'RAW-FS'!M26</f>
        <v>448</v>
      </c>
      <c r="K26" s="106">
        <f>'RAW-FS'!N26</f>
        <v>568</v>
      </c>
    </row>
    <row r="27" spans="1:11" x14ac:dyDescent="0.35">
      <c r="B27" s="105" t="str">
        <f>'RAW-FS'!B27</f>
        <v>Intangible Assets</v>
      </c>
      <c r="C27" s="105"/>
      <c r="D27" s="105"/>
      <c r="E27" s="105"/>
      <c r="F27" s="105"/>
      <c r="G27" s="106">
        <f>'RAW-FS'!J27</f>
        <v>0</v>
      </c>
      <c r="H27" s="106">
        <f>'RAW-FS'!K27</f>
        <v>0</v>
      </c>
      <c r="I27" s="106">
        <f>'RAW-FS'!L27</f>
        <v>0</v>
      </c>
      <c r="J27" s="106">
        <f>'RAW-FS'!M27</f>
        <v>0</v>
      </c>
      <c r="K27" s="106">
        <f>'RAW-FS'!N27</f>
        <v>0</v>
      </c>
    </row>
    <row r="28" spans="1:11" x14ac:dyDescent="0.35">
      <c r="B28" t="str">
        <f>'RAW-FS'!B28</f>
        <v>Other fixed assets</v>
      </c>
      <c r="G28" s="94">
        <f>'RAW-FS'!J28</f>
        <v>967</v>
      </c>
      <c r="H28" s="94">
        <f>'RAW-FS'!K28</f>
        <v>1254</v>
      </c>
      <c r="I28" s="94">
        <f>'RAW-FS'!L28</f>
        <v>1660</v>
      </c>
      <c r="J28" s="94">
        <f>'RAW-FS'!M28</f>
        <v>1783</v>
      </c>
      <c r="K28" s="94">
        <f>'RAW-FS'!N28</f>
        <v>2002</v>
      </c>
    </row>
    <row r="29" spans="1:11" x14ac:dyDescent="0.35">
      <c r="B29" s="61" t="s">
        <v>279</v>
      </c>
      <c r="C29" s="50"/>
      <c r="D29" s="50"/>
      <c r="E29" s="50"/>
      <c r="F29" s="50"/>
      <c r="G29" s="104">
        <f>SUM(G20:G28)</f>
        <v>31495</v>
      </c>
      <c r="H29" s="104">
        <f t="shared" ref="H29:K29" si="3">SUM(H20:H28)</f>
        <v>32530</v>
      </c>
      <c r="I29" s="104">
        <f t="shared" si="3"/>
        <v>39005</v>
      </c>
      <c r="J29" s="104">
        <f t="shared" si="3"/>
        <v>60787</v>
      </c>
      <c r="K29" s="104">
        <f t="shared" si="3"/>
        <v>71054</v>
      </c>
    </row>
    <row r="30" spans="1:11" x14ac:dyDescent="0.35">
      <c r="B30" t="s">
        <v>294</v>
      </c>
      <c r="G30" s="94">
        <f>'RAW-FS'!J31</f>
        <v>16508</v>
      </c>
      <c r="H30" s="94">
        <f>'RAW-FS'!K31</f>
        <v>18783</v>
      </c>
      <c r="I30" s="94">
        <f>'RAW-FS'!L31</f>
        <v>21174</v>
      </c>
      <c r="J30" s="94">
        <f>'RAW-FS'!M31</f>
        <v>32922</v>
      </c>
      <c r="K30" s="94">
        <f>'RAW-FS'!N31</f>
        <v>38070</v>
      </c>
    </row>
    <row r="31" spans="1:11" ht="15" thickBot="1" x14ac:dyDescent="0.4">
      <c r="A31" s="2" t="s">
        <v>57</v>
      </c>
      <c r="B31" s="80" t="s">
        <v>295</v>
      </c>
      <c r="C31" s="101"/>
      <c r="D31" s="101"/>
      <c r="E31" s="101"/>
      <c r="F31" s="101"/>
      <c r="G31" s="99">
        <f>SUM(G29:G30)</f>
        <v>48003</v>
      </c>
      <c r="H31" s="99">
        <f t="shared" ref="H31:K31" si="4">SUM(H29:H30)</f>
        <v>51313</v>
      </c>
      <c r="I31" s="99">
        <f t="shared" si="4"/>
        <v>60179</v>
      </c>
      <c r="J31" s="99">
        <f t="shared" si="4"/>
        <v>93709</v>
      </c>
      <c r="K31" s="99">
        <f t="shared" si="4"/>
        <v>109124</v>
      </c>
    </row>
    <row r="33" spans="2:11" x14ac:dyDescent="0.35">
      <c r="B33" s="19" t="s">
        <v>296</v>
      </c>
      <c r="C33" s="68"/>
      <c r="D33" s="68"/>
      <c r="E33" s="68"/>
      <c r="F33" s="68"/>
      <c r="G33" s="95">
        <f>SUM(G31,G17)</f>
        <v>48939</v>
      </c>
      <c r="H33" s="95">
        <f t="shared" ref="H33:K33" si="5">SUM(H31,H17)</f>
        <v>54727</v>
      </c>
      <c r="I33" s="95">
        <f t="shared" si="5"/>
        <v>62950</v>
      </c>
      <c r="J33" s="95">
        <f t="shared" si="5"/>
        <v>98904</v>
      </c>
      <c r="K33" s="95">
        <f t="shared" si="5"/>
        <v>115814</v>
      </c>
    </row>
    <row r="34" spans="2:11" x14ac:dyDescent="0.35">
      <c r="B34" s="19" t="s">
        <v>297</v>
      </c>
      <c r="C34" s="68"/>
      <c r="D34" s="68"/>
      <c r="E34" s="68"/>
      <c r="F34" s="68"/>
      <c r="G34" s="95">
        <f>HISTORIACLFINANCIALS!H26+HISTORIACLFINANCIALS!H20</f>
        <v>2723.4000000000024</v>
      </c>
      <c r="H34" s="95">
        <f>HISTORIACLFINANCIALS!I26+HISTORIACLFINANCIALS!I20</f>
        <v>3052.9000000000146</v>
      </c>
      <c r="I34" s="95">
        <f>HISTORIACLFINANCIALS!J26+HISTORIACLFINANCIALS!J20</f>
        <v>5960.3999999999969</v>
      </c>
      <c r="J34" s="95">
        <f>HISTORIACLFINANCIALS!K26+HISTORIACLFINANCIALS!K20</f>
        <v>13211.700000000013</v>
      </c>
      <c r="K34" s="95">
        <f>HISTORIACLFINANCIALS!L26+HISTORIACLFINANCIALS!L20</f>
        <v>20417.8</v>
      </c>
    </row>
    <row r="36" spans="2:11" ht="15" thickBot="1" x14ac:dyDescent="0.4">
      <c r="B36" s="108" t="s">
        <v>298</v>
      </c>
      <c r="C36" s="109"/>
      <c r="D36" s="109"/>
      <c r="E36" s="109"/>
      <c r="F36" s="109"/>
      <c r="G36" s="110">
        <f>G34/G33</f>
        <v>5.5648869000183954E-2</v>
      </c>
      <c r="H36" s="110">
        <f t="shared" ref="H36:K36" si="6">H34/H33</f>
        <v>5.5784165037367564E-2</v>
      </c>
      <c r="I36" s="110">
        <f t="shared" si="6"/>
        <v>9.4684670373312102E-2</v>
      </c>
      <c r="J36" s="110">
        <f t="shared" si="6"/>
        <v>0.13358104828925033</v>
      </c>
      <c r="K36" s="110">
        <f t="shared" si="6"/>
        <v>0.17629820228987858</v>
      </c>
    </row>
    <row r="39" spans="2:11" x14ac:dyDescent="0.35">
      <c r="B39" s="9" t="s">
        <v>299</v>
      </c>
      <c r="C39" s="9"/>
      <c r="D39" s="9"/>
      <c r="E39" s="9"/>
      <c r="F39" s="9"/>
      <c r="G39" s="10">
        <f>G2</f>
        <v>44286</v>
      </c>
      <c r="H39" s="10">
        <f t="shared" ref="H39:K39" si="7">H2</f>
        <v>44651</v>
      </c>
      <c r="I39" s="10">
        <f t="shared" si="7"/>
        <v>45016</v>
      </c>
      <c r="J39" s="10">
        <f t="shared" si="7"/>
        <v>45382</v>
      </c>
      <c r="K39" s="10">
        <f t="shared" si="7"/>
        <v>45747</v>
      </c>
    </row>
    <row r="41" spans="2:11" x14ac:dyDescent="0.35">
      <c r="B41" t="s">
        <v>300</v>
      </c>
      <c r="G41" s="26">
        <f>-SUM(DATA!J13:J14)</f>
        <v>2328</v>
      </c>
      <c r="H41" s="26">
        <f>-SUM(DATA!K13:K14)</f>
        <v>3323</v>
      </c>
      <c r="I41" s="26">
        <f>-SUM(DATA!L13:L14)</f>
        <v>6247</v>
      </c>
      <c r="J41" s="26">
        <f>-SUM(DATA!M13:M14)</f>
        <v>9155</v>
      </c>
      <c r="K41" s="26">
        <f>-SUM(DATA!N13:N14)</f>
        <v>10603</v>
      </c>
    </row>
    <row r="42" spans="2:11" x14ac:dyDescent="0.35">
      <c r="B42" s="67" t="s">
        <v>301</v>
      </c>
      <c r="C42" s="67"/>
      <c r="D42" s="67"/>
      <c r="E42" s="67"/>
      <c r="F42" s="67"/>
      <c r="G42" s="114" t="s">
        <v>83</v>
      </c>
      <c r="H42" s="93">
        <f>H17-G17</f>
        <v>2478</v>
      </c>
      <c r="I42" s="93">
        <f t="shared" ref="I42:K42" si="8">I17-H17</f>
        <v>-643</v>
      </c>
      <c r="J42" s="93">
        <f t="shared" si="8"/>
        <v>2424</v>
      </c>
      <c r="K42" s="93">
        <f t="shared" si="8"/>
        <v>1495</v>
      </c>
    </row>
    <row r="43" spans="2:11" x14ac:dyDescent="0.35"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2:11" x14ac:dyDescent="0.35">
      <c r="B44" s="67" t="s">
        <v>297</v>
      </c>
      <c r="C44" s="67"/>
      <c r="D44" s="67"/>
      <c r="E44" s="67"/>
      <c r="F44" s="67"/>
      <c r="G44" s="93">
        <f>G34</f>
        <v>2723.4000000000024</v>
      </c>
      <c r="H44" s="93">
        <f t="shared" ref="H44:K44" si="9">H34</f>
        <v>3052.9000000000146</v>
      </c>
      <c r="I44" s="93">
        <f t="shared" si="9"/>
        <v>5960.3999999999969</v>
      </c>
      <c r="J44" s="93">
        <f t="shared" si="9"/>
        <v>13211.700000000013</v>
      </c>
      <c r="K44" s="93">
        <f t="shared" si="9"/>
        <v>20417.8</v>
      </c>
    </row>
    <row r="45" spans="2:11" x14ac:dyDescent="0.35">
      <c r="B45" s="67" t="s">
        <v>302</v>
      </c>
      <c r="C45" s="67"/>
      <c r="D45" s="67"/>
      <c r="E45" s="67"/>
      <c r="F45" s="67"/>
      <c r="G45" s="115">
        <v>0.25</v>
      </c>
      <c r="H45" s="115">
        <v>0.25</v>
      </c>
      <c r="I45" s="115">
        <v>0.25</v>
      </c>
      <c r="J45" s="115">
        <v>0.25</v>
      </c>
      <c r="K45" s="115">
        <v>0.25</v>
      </c>
    </row>
    <row r="46" spans="2:11" x14ac:dyDescent="0.35">
      <c r="B46" s="67" t="s">
        <v>303</v>
      </c>
      <c r="C46" s="67"/>
      <c r="D46" s="67"/>
      <c r="E46" s="67"/>
      <c r="F46" s="67"/>
      <c r="G46" s="67">
        <f>G44*(1-G45)</f>
        <v>2042.5500000000018</v>
      </c>
      <c r="H46" s="67">
        <f t="shared" ref="H46:K46" si="10">H44*(1-H45)</f>
        <v>2289.6750000000111</v>
      </c>
      <c r="I46" s="67">
        <f t="shared" si="10"/>
        <v>4470.2999999999975</v>
      </c>
      <c r="J46" s="67">
        <f t="shared" si="10"/>
        <v>9908.7750000000106</v>
      </c>
      <c r="K46" s="67">
        <f t="shared" si="10"/>
        <v>15313.349999999999</v>
      </c>
    </row>
    <row r="47" spans="2:11" x14ac:dyDescent="0.35"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2:11" x14ac:dyDescent="0.35">
      <c r="B48" s="67" t="s">
        <v>304</v>
      </c>
      <c r="C48" s="67"/>
      <c r="D48" s="67"/>
      <c r="E48" s="67"/>
      <c r="F48" s="67"/>
      <c r="G48" s="114" t="s">
        <v>83</v>
      </c>
      <c r="H48" s="116">
        <f>SUM(H41:H42)</f>
        <v>5801</v>
      </c>
      <c r="I48" s="116">
        <f t="shared" ref="I48:K48" si="11">SUM(I41:I42)</f>
        <v>5604</v>
      </c>
      <c r="J48" s="116">
        <f t="shared" si="11"/>
        <v>11579</v>
      </c>
      <c r="K48" s="116">
        <f t="shared" si="11"/>
        <v>12098</v>
      </c>
    </row>
    <row r="50" spans="2:11" ht="15" thickBot="1" x14ac:dyDescent="0.4">
      <c r="B50" s="80" t="s">
        <v>305</v>
      </c>
      <c r="C50" s="101"/>
      <c r="D50" s="101"/>
      <c r="E50" s="101"/>
      <c r="F50" s="101"/>
      <c r="G50" s="112" t="s">
        <v>83</v>
      </c>
      <c r="H50" s="113">
        <f>H48/H46</f>
        <v>2.5335473375042188</v>
      </c>
      <c r="I50" s="113">
        <f t="shared" ref="I50:K50" si="12">I48/I46</f>
        <v>1.2536071404603726</v>
      </c>
      <c r="J50" s="113">
        <f t="shared" si="12"/>
        <v>1.1685601903363421</v>
      </c>
      <c r="K50" s="113">
        <f t="shared" si="12"/>
        <v>0.79002961468261357</v>
      </c>
    </row>
    <row r="52" spans="2:11" x14ac:dyDescent="0.35">
      <c r="J52" s="71" t="s">
        <v>306</v>
      </c>
      <c r="K52" s="117">
        <f>AVERAGE(H50:K50)</f>
        <v>1.4364360707458868</v>
      </c>
    </row>
    <row r="53" spans="2:11" x14ac:dyDescent="0.35">
      <c r="J53" s="71" t="s">
        <v>307</v>
      </c>
      <c r="K53" s="127">
        <f>MEDIAN(H50:K50)</f>
        <v>1.2110836653983572</v>
      </c>
    </row>
    <row r="55" spans="2:11" x14ac:dyDescent="0.35">
      <c r="B55" s="9" t="s">
        <v>308</v>
      </c>
      <c r="C55" s="45"/>
      <c r="D55" s="45"/>
      <c r="E55" s="45"/>
      <c r="F55" s="45"/>
      <c r="G55" s="10">
        <f>G2</f>
        <v>44286</v>
      </c>
      <c r="H55" s="10">
        <f>H2</f>
        <v>44651</v>
      </c>
      <c r="I55" s="10">
        <f t="shared" ref="I55:K55" si="13">I2</f>
        <v>45016</v>
      </c>
      <c r="J55" s="10">
        <f t="shared" si="13"/>
        <v>45382</v>
      </c>
      <c r="K55" s="10">
        <f t="shared" si="13"/>
        <v>45747</v>
      </c>
    </row>
    <row r="57" spans="2:11" x14ac:dyDescent="0.35">
      <c r="B57" s="32" t="str">
        <f>B50</f>
        <v>Reinvestment Rate</v>
      </c>
      <c r="C57" s="32"/>
      <c r="D57" s="32"/>
      <c r="E57" s="32"/>
      <c r="F57" s="32"/>
      <c r="G57" s="118" t="s">
        <v>83</v>
      </c>
      <c r="H57" s="119">
        <f>H50</f>
        <v>2.5335473375042188</v>
      </c>
      <c r="I57" s="119">
        <f t="shared" ref="I57:K57" si="14">I50</f>
        <v>1.2536071404603726</v>
      </c>
      <c r="J57" s="119">
        <f t="shared" si="14"/>
        <v>1.1685601903363421</v>
      </c>
      <c r="K57" s="119">
        <f t="shared" si="14"/>
        <v>0.79002961468261357</v>
      </c>
    </row>
    <row r="58" spans="2:11" x14ac:dyDescent="0.35">
      <c r="B58" s="32" t="s">
        <v>298</v>
      </c>
      <c r="C58" s="32"/>
      <c r="D58" s="32"/>
      <c r="E58" s="32"/>
      <c r="F58" s="32"/>
      <c r="G58" s="119">
        <f>G36</f>
        <v>5.5648869000183954E-2</v>
      </c>
      <c r="H58" s="119">
        <f t="shared" ref="H58:K58" si="15">H36</f>
        <v>5.5784165037367564E-2</v>
      </c>
      <c r="I58" s="119">
        <f t="shared" si="15"/>
        <v>9.4684670373312102E-2</v>
      </c>
      <c r="J58" s="119">
        <f t="shared" si="15"/>
        <v>0.13358104828925033</v>
      </c>
      <c r="K58" s="119">
        <f t="shared" si="15"/>
        <v>0.17629820228987858</v>
      </c>
    </row>
    <row r="60" spans="2:11" ht="15" thickBot="1" x14ac:dyDescent="0.4">
      <c r="B60" s="80" t="s">
        <v>309</v>
      </c>
      <c r="C60" s="80"/>
      <c r="D60" s="80"/>
      <c r="E60" s="80"/>
      <c r="F60" s="80"/>
      <c r="G60" s="112" t="s">
        <v>83</v>
      </c>
      <c r="H60" s="107">
        <f>H57*H58</f>
        <v>0.14133182280531853</v>
      </c>
      <c r="I60" s="107">
        <f t="shared" ref="I60:K60" si="16">I57*I58</f>
        <v>0.11869737887212074</v>
      </c>
      <c r="J60" s="107">
        <f t="shared" si="16"/>
        <v>0.15609749521421445</v>
      </c>
      <c r="K60" s="107">
        <f t="shared" si="16"/>
        <v>0.13928080082431024</v>
      </c>
    </row>
    <row r="62" spans="2:11" x14ac:dyDescent="0.35">
      <c r="J62" s="71" t="s">
        <v>306</v>
      </c>
      <c r="K62" s="117">
        <f>AVERAGE(H60:K60)</f>
        <v>0.138851874428991</v>
      </c>
    </row>
    <row r="63" spans="2:11" x14ac:dyDescent="0.35">
      <c r="J63" s="71" t="s">
        <v>307</v>
      </c>
      <c r="K63" s="117">
        <f>MEDIAN(H60:K60)</f>
        <v>0.1403063118148144</v>
      </c>
    </row>
  </sheetData>
  <pageMargins left="0.7" right="0.7" top="0.75" bottom="0.75" header="0.3" footer="0.3"/>
  <pageSetup orientation="portrait" r:id="rId1"/>
  <ignoredErrors>
    <ignoredError sqref="G41 H41:K4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B1E5-69F2-47F4-80C8-AA5B561D95C7}">
  <sheetPr>
    <tabColor rgb="FF002060"/>
  </sheetPr>
  <dimension ref="B3:K42"/>
  <sheetViews>
    <sheetView showGridLines="0" topLeftCell="A22" zoomScale="93" zoomScaleNormal="111" workbookViewId="0">
      <selection activeCell="E42" sqref="E42"/>
    </sheetView>
  </sheetViews>
  <sheetFormatPr defaultRowHeight="14.5" x14ac:dyDescent="0.35"/>
  <cols>
    <col min="1" max="1" width="1.81640625" customWidth="1"/>
    <col min="2" max="2" width="31.54296875" bestFit="1" customWidth="1"/>
    <col min="3" max="3" width="10.90625" bestFit="1" customWidth="1"/>
    <col min="6" max="6" width="11" bestFit="1" customWidth="1"/>
    <col min="7" max="9" width="11.81640625" bestFit="1" customWidth="1"/>
    <col min="10" max="10" width="11.36328125" bestFit="1" customWidth="1"/>
    <col min="11" max="11" width="11.81640625" bestFit="1" customWidth="1"/>
  </cols>
  <sheetData>
    <row r="3" spans="2:11" x14ac:dyDescent="0.35">
      <c r="B3" s="9" t="s">
        <v>311</v>
      </c>
      <c r="C3" s="45"/>
      <c r="D3" s="45"/>
      <c r="E3" s="45"/>
      <c r="F3" s="121">
        <f>'Instrinsic Growth'!$K$2</f>
        <v>45747</v>
      </c>
      <c r="G3" s="122">
        <f>F3+365</f>
        <v>46112</v>
      </c>
      <c r="H3" s="122">
        <f t="shared" ref="H3:J3" si="0">G3+365</f>
        <v>46477</v>
      </c>
      <c r="I3" s="122">
        <f t="shared" si="0"/>
        <v>46842</v>
      </c>
      <c r="J3" s="122">
        <f t="shared" si="0"/>
        <v>47207</v>
      </c>
      <c r="K3" s="122">
        <f>J3+365</f>
        <v>47572</v>
      </c>
    </row>
    <row r="4" spans="2:11" x14ac:dyDescent="0.35">
      <c r="F4" s="111"/>
    </row>
    <row r="5" spans="2:11" x14ac:dyDescent="0.35">
      <c r="B5" s="32" t="s">
        <v>297</v>
      </c>
      <c r="C5" s="32"/>
      <c r="D5" s="32"/>
      <c r="E5" s="32"/>
      <c r="F5" s="128">
        <f>'Instrinsic Growth'!K34</f>
        <v>20417.8</v>
      </c>
      <c r="G5" s="129">
        <f>F5*(1+$C$17)</f>
        <v>23282.54621337252</v>
      </c>
      <c r="H5" s="129">
        <f>G5*(1+$C$17)</f>
        <v>26549.234402228791</v>
      </c>
      <c r="I5" s="129">
        <f>H5*(1+$C$17)</f>
        <v>30274.259562712501</v>
      </c>
      <c r="J5" s="129">
        <f>I5*(1+$C$17)</f>
        <v>34521.929264881066</v>
      </c>
      <c r="K5" s="129">
        <f>J5*(1+$C$17)</f>
        <v>39365.573836768439</v>
      </c>
    </row>
    <row r="6" spans="2:11" x14ac:dyDescent="0.35">
      <c r="B6" s="32" t="s">
        <v>229</v>
      </c>
      <c r="C6" s="32"/>
      <c r="D6" s="32"/>
      <c r="E6" s="32"/>
      <c r="F6" s="125">
        <v>0.25</v>
      </c>
      <c r="G6" s="126">
        <v>0.25</v>
      </c>
      <c r="H6" s="126">
        <v>0.25</v>
      </c>
      <c r="I6" s="126">
        <v>0.25</v>
      </c>
      <c r="J6" s="126">
        <v>0.25</v>
      </c>
      <c r="K6" s="126">
        <v>0.25</v>
      </c>
    </row>
    <row r="7" spans="2:11" x14ac:dyDescent="0.35">
      <c r="B7" s="32" t="s">
        <v>303</v>
      </c>
      <c r="C7" s="32"/>
      <c r="D7" s="32"/>
      <c r="E7" s="32"/>
      <c r="F7" s="130">
        <f>F5*(1-F6)</f>
        <v>15313.349999999999</v>
      </c>
      <c r="G7" s="131">
        <f t="shared" ref="G7:K7" si="1">G5*(1-G6)</f>
        <v>17461.909660029389</v>
      </c>
      <c r="H7" s="131">
        <f t="shared" si="1"/>
        <v>19911.925801671594</v>
      </c>
      <c r="I7" s="131">
        <f t="shared" si="1"/>
        <v>22705.694672034377</v>
      </c>
      <c r="J7" s="131">
        <f t="shared" si="1"/>
        <v>25891.4469486608</v>
      </c>
      <c r="K7" s="131">
        <f t="shared" si="1"/>
        <v>29524.180377576329</v>
      </c>
    </row>
    <row r="8" spans="2:11" x14ac:dyDescent="0.35">
      <c r="B8" s="32" t="s">
        <v>312</v>
      </c>
      <c r="C8" s="32"/>
      <c r="D8" s="32"/>
      <c r="E8" s="32"/>
      <c r="F8" s="125">
        <v>0.36</v>
      </c>
      <c r="G8" s="125">
        <v>0.36</v>
      </c>
      <c r="H8" s="125">
        <v>0.36</v>
      </c>
      <c r="I8" s="125">
        <v>0.36</v>
      </c>
      <c r="J8" s="125">
        <v>0.36</v>
      </c>
      <c r="K8" s="125">
        <v>0.36</v>
      </c>
    </row>
    <row r="9" spans="2:11" x14ac:dyDescent="0.35">
      <c r="B9" s="32"/>
      <c r="C9" s="32"/>
      <c r="D9" s="32"/>
      <c r="E9" s="32"/>
      <c r="F9" s="124"/>
      <c r="G9" s="32"/>
      <c r="H9" s="32"/>
      <c r="I9" s="32"/>
      <c r="J9" s="32"/>
      <c r="K9" s="32"/>
    </row>
    <row r="10" spans="2:11" x14ac:dyDescent="0.35">
      <c r="B10" s="32" t="s">
        <v>313</v>
      </c>
      <c r="C10" s="32"/>
      <c r="D10" s="32"/>
      <c r="E10" s="32"/>
      <c r="F10" s="130">
        <f t="shared" ref="F10:K10" si="2">F7*(1-F8)</f>
        <v>9800.5439999999999</v>
      </c>
      <c r="G10" s="131">
        <f t="shared" si="2"/>
        <v>11175.622182418809</v>
      </c>
      <c r="H10" s="131">
        <f t="shared" si="2"/>
        <v>12743.632513069821</v>
      </c>
      <c r="I10" s="131">
        <f t="shared" si="2"/>
        <v>14531.644590102002</v>
      </c>
      <c r="J10" s="131">
        <f t="shared" si="2"/>
        <v>16570.526047142914</v>
      </c>
      <c r="K10" s="131">
        <f t="shared" si="2"/>
        <v>18895.47544164885</v>
      </c>
    </row>
    <row r="11" spans="2:11" x14ac:dyDescent="0.35">
      <c r="B11" s="32" t="s">
        <v>314</v>
      </c>
      <c r="C11" s="32"/>
      <c r="D11" s="32"/>
      <c r="E11" s="32"/>
      <c r="F11" s="124"/>
      <c r="G11" s="131">
        <v>0.5</v>
      </c>
      <c r="H11" s="131">
        <f>G11+1</f>
        <v>1.5</v>
      </c>
      <c r="I11" s="131">
        <f t="shared" ref="I11:K11" si="3">H11+1</f>
        <v>2.5</v>
      </c>
      <c r="J11" s="131">
        <f t="shared" si="3"/>
        <v>3.5</v>
      </c>
      <c r="K11" s="131">
        <f t="shared" si="3"/>
        <v>4.5</v>
      </c>
    </row>
    <row r="12" spans="2:11" x14ac:dyDescent="0.35">
      <c r="B12" t="s">
        <v>315</v>
      </c>
      <c r="F12" s="111"/>
      <c r="G12" s="132">
        <f>1/(1+$C$19)^G11</f>
        <v>0.93271706180913416</v>
      </c>
      <c r="H12" s="132">
        <f t="shared" ref="H12:K12" si="4">1/(1+$C$19)^H11</f>
        <v>0.81142757730006543</v>
      </c>
      <c r="I12" s="132">
        <f t="shared" si="4"/>
        <v>0.70591044182891527</v>
      </c>
      <c r="J12" s="132">
        <f t="shared" si="4"/>
        <v>0.61411463675065581</v>
      </c>
      <c r="K12" s="132">
        <f t="shared" si="4"/>
        <v>0.53425585559307109</v>
      </c>
    </row>
    <row r="13" spans="2:11" ht="3.5" customHeight="1" x14ac:dyDescent="0.35">
      <c r="B13" t="s">
        <v>320</v>
      </c>
      <c r="F13" s="111"/>
    </row>
    <row r="14" spans="2:11" ht="15" thickBot="1" x14ac:dyDescent="0.4">
      <c r="B14" s="80" t="s">
        <v>316</v>
      </c>
      <c r="C14" s="101"/>
      <c r="D14" s="101"/>
      <c r="E14" s="101"/>
      <c r="F14" s="109"/>
      <c r="G14" s="133">
        <f>G10*G12</f>
        <v>10423.693485874655</v>
      </c>
      <c r="H14" s="133">
        <f t="shared" ref="H14:K14" si="5">H10*H12</f>
        <v>10340.53485608259</v>
      </c>
      <c r="I14" s="133">
        <f t="shared" si="5"/>
        <v>10258.03965309967</v>
      </c>
      <c r="J14" s="133">
        <f t="shared" si="5"/>
        <v>10176.202584208451</v>
      </c>
      <c r="K14" s="133">
        <f t="shared" si="5"/>
        <v>10095.018398915969</v>
      </c>
    </row>
    <row r="16" spans="2:11" x14ac:dyDescent="0.35">
      <c r="C16" t="s">
        <v>84</v>
      </c>
    </row>
    <row r="17" spans="2:4" x14ac:dyDescent="0.35">
      <c r="B17" s="71" t="s">
        <v>317</v>
      </c>
      <c r="C17" s="120">
        <f>'Instrinsic Growth'!K63</f>
        <v>0.1403063118148144</v>
      </c>
    </row>
    <row r="18" spans="2:4" x14ac:dyDescent="0.35">
      <c r="B18" s="71" t="s">
        <v>318</v>
      </c>
      <c r="C18" s="72">
        <v>5.3800000000000001E-2</v>
      </c>
      <c r="D18" s="2" t="s">
        <v>319</v>
      </c>
    </row>
    <row r="19" spans="2:4" x14ac:dyDescent="0.35">
      <c r="B19" s="71" t="s">
        <v>254</v>
      </c>
      <c r="C19" s="72">
        <f>WACC!J45</f>
        <v>0.14947666052051858</v>
      </c>
    </row>
    <row r="21" spans="2:4" x14ac:dyDescent="0.35">
      <c r="B21" s="9" t="s">
        <v>321</v>
      </c>
      <c r="C21" s="76"/>
    </row>
    <row r="23" spans="2:4" x14ac:dyDescent="0.35">
      <c r="B23" s="32" t="s">
        <v>322</v>
      </c>
      <c r="C23" s="129">
        <f>K10*(1+C17)</f>
        <v>21546.629910854004</v>
      </c>
    </row>
    <row r="24" spans="2:4" x14ac:dyDescent="0.35">
      <c r="B24" s="32" t="s">
        <v>254</v>
      </c>
      <c r="C24" s="123">
        <f>C19</f>
        <v>0.14947666052051858</v>
      </c>
    </row>
    <row r="25" spans="2:4" x14ac:dyDescent="0.35">
      <c r="B25" s="32" t="s">
        <v>323</v>
      </c>
      <c r="C25" s="123">
        <f>C18</f>
        <v>5.3800000000000001E-2</v>
      </c>
    </row>
    <row r="27" spans="2:4" ht="15" thickBot="1" x14ac:dyDescent="0.4">
      <c r="B27" s="108" t="s">
        <v>324</v>
      </c>
      <c r="C27" s="134">
        <f>C23/(C24-C25)</f>
        <v>225202.57075896964</v>
      </c>
    </row>
    <row r="29" spans="2:4" x14ac:dyDescent="0.35">
      <c r="B29" s="9" t="s">
        <v>325</v>
      </c>
      <c r="C29" s="9"/>
    </row>
    <row r="31" spans="2:4" x14ac:dyDescent="0.35">
      <c r="B31" t="s">
        <v>316</v>
      </c>
      <c r="C31" s="135">
        <f>SUM(G14:K14)</f>
        <v>51293.48897818134</v>
      </c>
    </row>
    <row r="32" spans="2:4" x14ac:dyDescent="0.35">
      <c r="B32" t="s">
        <v>326</v>
      </c>
      <c r="C32" s="135">
        <f>C27*K12</f>
        <v>120315.79212259247</v>
      </c>
    </row>
    <row r="33" spans="2:5" x14ac:dyDescent="0.35">
      <c r="B33" s="2" t="s">
        <v>327</v>
      </c>
      <c r="C33" s="135">
        <f>SUM(C31:C32)</f>
        <v>171609.28110077381</v>
      </c>
    </row>
    <row r="35" spans="2:5" x14ac:dyDescent="0.35">
      <c r="B35" t="s">
        <v>328</v>
      </c>
      <c r="C35" s="135">
        <f>'Data Sheet'!K69</f>
        <v>552.9</v>
      </c>
    </row>
    <row r="36" spans="2:5" x14ac:dyDescent="0.35">
      <c r="B36" t="s">
        <v>329</v>
      </c>
      <c r="C36" s="135">
        <f>HISTORIACLFINANCIALS!L48</f>
        <v>87</v>
      </c>
    </row>
    <row r="37" spans="2:5" x14ac:dyDescent="0.35">
      <c r="B37" s="2" t="s">
        <v>330</v>
      </c>
      <c r="C37" s="135">
        <f>C33+C35-C36</f>
        <v>172075.1811007738</v>
      </c>
    </row>
    <row r="38" spans="2:5" x14ac:dyDescent="0.35">
      <c r="B38" t="s">
        <v>331</v>
      </c>
      <c r="C38" s="135">
        <f>'Data Sheet'!B6</f>
        <v>31.440256174383261</v>
      </c>
    </row>
    <row r="39" spans="2:5" ht="15" thickBot="1" x14ac:dyDescent="0.4">
      <c r="B39" s="80" t="s">
        <v>332</v>
      </c>
      <c r="C39" s="136">
        <f>C37/C38</f>
        <v>5473.0845749589143</v>
      </c>
    </row>
    <row r="41" spans="2:5" x14ac:dyDescent="0.35">
      <c r="B41" s="71" t="s">
        <v>333</v>
      </c>
      <c r="C41" s="137">
        <v>15067</v>
      </c>
    </row>
    <row r="42" spans="2:5" x14ac:dyDescent="0.35">
      <c r="B42" s="71" t="s">
        <v>334</v>
      </c>
      <c r="C42" s="138">
        <f>C41/C39-1</f>
        <v>1.7529265798186766</v>
      </c>
      <c r="E42" t="s">
        <v>84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1515-2333-43C4-92F0-96975A479414}">
  <sheetPr>
    <tabColor rgb="FF002060"/>
  </sheetPr>
  <dimension ref="A1"/>
  <sheetViews>
    <sheetView showGridLines="0" topLeftCell="F1" workbookViewId="0"/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"/>
  <sheetViews>
    <sheetView zoomScale="104" zoomScaleNormal="120" zoomScalePageLayoutView="120" workbookViewId="0">
      <pane xSplit="1" ySplit="1" topLeftCell="B56" activePane="bottomRight" state="frozen"/>
      <selection activeCell="C4" sqref="C4"/>
      <selection pane="topRight" activeCell="C4" sqref="C4"/>
      <selection pane="bottomLeft" activeCell="C4" sqref="C4"/>
      <selection pane="bottomRight" activeCell="K69" sqref="K69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33</v>
      </c>
      <c r="E1" s="143" t="str">
        <f>IF(B2&lt;&gt;B3, "A NEW VERSION OF THE WORKSHEET IS AVAILABLE", "")</f>
        <v/>
      </c>
      <c r="F1" s="143"/>
      <c r="G1" s="143"/>
      <c r="H1" s="143"/>
      <c r="I1" s="143"/>
      <c r="J1" s="143"/>
      <c r="K1" s="143"/>
    </row>
    <row r="2" spans="1:11" x14ac:dyDescent="0.35">
      <c r="A2" s="1" t="s">
        <v>31</v>
      </c>
      <c r="B2" s="3">
        <v>2.1</v>
      </c>
      <c r="E2" s="144" t="s">
        <v>21</v>
      </c>
      <c r="F2" s="144"/>
      <c r="G2" s="144"/>
      <c r="H2" s="144"/>
      <c r="I2" s="144"/>
      <c r="J2" s="144"/>
      <c r="K2" s="144"/>
    </row>
    <row r="3" spans="1:11" x14ac:dyDescent="0.35">
      <c r="A3" s="1" t="s">
        <v>32</v>
      </c>
      <c r="B3" s="3">
        <v>2.1</v>
      </c>
    </row>
    <row r="4" spans="1:11" x14ac:dyDescent="0.35">
      <c r="A4" s="1"/>
    </row>
    <row r="5" spans="1:11" x14ac:dyDescent="0.35">
      <c r="A5" s="1" t="s">
        <v>34</v>
      </c>
    </row>
    <row r="6" spans="1:11" x14ac:dyDescent="0.35">
      <c r="A6" s="3" t="s">
        <v>27</v>
      </c>
      <c r="B6" s="3">
        <f>IF(B9&gt;0, B9/B8, 0)</f>
        <v>31.440256174383261</v>
      </c>
    </row>
    <row r="7" spans="1:11" x14ac:dyDescent="0.35">
      <c r="A7" s="3" t="s">
        <v>16</v>
      </c>
      <c r="B7">
        <v>5</v>
      </c>
    </row>
    <row r="8" spans="1:11" x14ac:dyDescent="0.35">
      <c r="A8" s="3" t="s">
        <v>28</v>
      </c>
      <c r="B8">
        <v>14294.95</v>
      </c>
    </row>
    <row r="9" spans="1:11" x14ac:dyDescent="0.35">
      <c r="A9" s="3" t="s">
        <v>44</v>
      </c>
      <c r="B9">
        <v>449436.89</v>
      </c>
    </row>
    <row r="15" spans="1:11" x14ac:dyDescent="0.35">
      <c r="A15" s="1" t="s">
        <v>22</v>
      </c>
    </row>
    <row r="16" spans="1:11" s="7" customFormat="1" x14ac:dyDescent="0.35">
      <c r="A16" s="6" t="s">
        <v>23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2" s="4" customFormat="1" x14ac:dyDescent="0.35">
      <c r="A17" s="4" t="s">
        <v>1</v>
      </c>
      <c r="B17">
        <v>57589</v>
      </c>
      <c r="C17">
        <v>68085</v>
      </c>
      <c r="D17">
        <v>79809.399999999994</v>
      </c>
      <c r="E17">
        <v>86068.5</v>
      </c>
      <c r="F17">
        <v>75660</v>
      </c>
      <c r="G17">
        <v>70372</v>
      </c>
      <c r="H17">
        <v>88329.8</v>
      </c>
      <c r="I17">
        <v>117571.3</v>
      </c>
      <c r="J17">
        <v>141858.20000000001</v>
      </c>
      <c r="K17">
        <v>152913</v>
      </c>
    </row>
    <row r="18" spans="1:12" s="4" customFormat="1" x14ac:dyDescent="0.35">
      <c r="A18" s="3" t="s">
        <v>45</v>
      </c>
      <c r="B18">
        <v>38701.199999999997</v>
      </c>
      <c r="C18">
        <v>47121.5</v>
      </c>
      <c r="D18">
        <v>54945.3</v>
      </c>
      <c r="E18">
        <v>59346.6</v>
      </c>
      <c r="F18">
        <v>53402</v>
      </c>
      <c r="G18">
        <v>50550.5</v>
      </c>
      <c r="H18">
        <v>66137.100000000006</v>
      </c>
      <c r="I18">
        <v>86654.7</v>
      </c>
      <c r="J18">
        <v>100119.5</v>
      </c>
      <c r="K18">
        <v>108718.3</v>
      </c>
      <c r="L18" s="4" t="s">
        <v>84</v>
      </c>
    </row>
    <row r="19" spans="1:12" s="4" customFormat="1" x14ac:dyDescent="0.35">
      <c r="A19" s="3" t="s">
        <v>46</v>
      </c>
      <c r="B19">
        <v>-4.8</v>
      </c>
      <c r="C19">
        <v>379.3</v>
      </c>
      <c r="D19">
        <v>-40.799999999999997</v>
      </c>
      <c r="E19">
        <v>-211.6</v>
      </c>
      <c r="F19">
        <v>238.7</v>
      </c>
      <c r="G19">
        <v>-273.60000000000002</v>
      </c>
      <c r="H19">
        <v>93.1</v>
      </c>
      <c r="I19">
        <v>403.9</v>
      </c>
      <c r="J19">
        <v>378.6</v>
      </c>
      <c r="K19">
        <v>1227.5</v>
      </c>
    </row>
    <row r="20" spans="1:12" s="4" customFormat="1" x14ac:dyDescent="0.35">
      <c r="A20" s="3" t="s">
        <v>47</v>
      </c>
      <c r="B20">
        <v>694.1</v>
      </c>
      <c r="C20">
        <v>518.6</v>
      </c>
      <c r="D20">
        <v>673.4</v>
      </c>
      <c r="E20">
        <v>863.3</v>
      </c>
      <c r="F20">
        <v>699.5</v>
      </c>
      <c r="G20">
        <v>476.6</v>
      </c>
      <c r="H20">
        <v>630.9</v>
      </c>
      <c r="I20">
        <v>790</v>
      </c>
      <c r="J20">
        <v>1033.4000000000001</v>
      </c>
      <c r="K20">
        <v>1052.5999999999999</v>
      </c>
    </row>
    <row r="21" spans="1:12" s="4" customFormat="1" x14ac:dyDescent="0.35">
      <c r="A21" s="3" t="s">
        <v>48</v>
      </c>
      <c r="B21">
        <v>427.8</v>
      </c>
      <c r="C21">
        <v>382.9</v>
      </c>
      <c r="D21">
        <v>462.1</v>
      </c>
      <c r="E21">
        <v>475.7</v>
      </c>
      <c r="F21">
        <v>378.1</v>
      </c>
      <c r="G21">
        <v>683.3</v>
      </c>
      <c r="H21">
        <v>852.5</v>
      </c>
      <c r="I21">
        <v>1120.7</v>
      </c>
      <c r="J21">
        <v>939.3</v>
      </c>
      <c r="K21">
        <v>1994.4</v>
      </c>
    </row>
    <row r="22" spans="1:12" s="4" customFormat="1" x14ac:dyDescent="0.35">
      <c r="A22" s="3" t="s">
        <v>49</v>
      </c>
      <c r="B22">
        <v>2000.3</v>
      </c>
      <c r="C22">
        <v>2360.3000000000002</v>
      </c>
      <c r="D22">
        <v>2863.4</v>
      </c>
      <c r="E22">
        <v>3285</v>
      </c>
      <c r="F22">
        <v>3416.2</v>
      </c>
      <c r="G22">
        <v>3431.6</v>
      </c>
      <c r="H22">
        <v>4051.4</v>
      </c>
      <c r="I22">
        <v>4634.6000000000004</v>
      </c>
      <c r="J22">
        <v>6301.6</v>
      </c>
      <c r="K22">
        <v>7026</v>
      </c>
    </row>
    <row r="23" spans="1:12" s="4" customFormat="1" x14ac:dyDescent="0.35">
      <c r="A23" s="3" t="s">
        <v>50</v>
      </c>
      <c r="B23">
        <v>5367.3</v>
      </c>
      <c r="C23">
        <v>6111.3</v>
      </c>
      <c r="D23">
        <v>6755.3</v>
      </c>
      <c r="E23">
        <v>8390.2999999999993</v>
      </c>
      <c r="F23">
        <v>8456.2999999999993</v>
      </c>
      <c r="G23">
        <v>7924</v>
      </c>
      <c r="H23">
        <v>9119.1</v>
      </c>
      <c r="I23">
        <v>11695</v>
      </c>
      <c r="J23">
        <v>12082.6</v>
      </c>
      <c r="K23">
        <v>11523.3</v>
      </c>
    </row>
    <row r="24" spans="1:12" s="4" customFormat="1" x14ac:dyDescent="0.35">
      <c r="A24" s="3" t="s">
        <v>51</v>
      </c>
      <c r="B24">
        <v>1369.4</v>
      </c>
      <c r="C24">
        <v>1548.4</v>
      </c>
      <c r="D24">
        <v>1951.2</v>
      </c>
      <c r="E24">
        <v>2439.6999999999998</v>
      </c>
      <c r="F24">
        <v>2191.6</v>
      </c>
      <c r="G24">
        <v>1621.8</v>
      </c>
      <c r="H24">
        <v>1879.9</v>
      </c>
      <c r="I24">
        <v>2051</v>
      </c>
      <c r="J24">
        <v>3134.1</v>
      </c>
      <c r="K24">
        <v>3602.3</v>
      </c>
    </row>
    <row r="25" spans="1:12" s="4" customFormat="1" x14ac:dyDescent="0.35">
      <c r="A25" s="4" t="s">
        <v>4</v>
      </c>
      <c r="B25">
        <v>1464.1</v>
      </c>
      <c r="C25">
        <v>2399.1999999999998</v>
      </c>
      <c r="D25">
        <v>2154.6</v>
      </c>
      <c r="E25">
        <v>2664.2</v>
      </c>
      <c r="F25">
        <v>3410.4</v>
      </c>
      <c r="G25">
        <v>3046.3</v>
      </c>
      <c r="H25">
        <v>1860.8</v>
      </c>
      <c r="I25">
        <v>2306.6</v>
      </c>
      <c r="J25">
        <v>4247.6000000000004</v>
      </c>
      <c r="K25">
        <v>5198.8</v>
      </c>
    </row>
    <row r="26" spans="1:12" s="4" customFormat="1" x14ac:dyDescent="0.35">
      <c r="A26" s="4" t="s">
        <v>5</v>
      </c>
      <c r="B26">
        <v>2821.8</v>
      </c>
      <c r="C26">
        <v>2603.9</v>
      </c>
      <c r="D26">
        <v>2759.8</v>
      </c>
      <c r="E26">
        <v>3020.8</v>
      </c>
      <c r="F26">
        <v>3528.4</v>
      </c>
      <c r="G26">
        <v>3034.1</v>
      </c>
      <c r="H26">
        <v>2789</v>
      </c>
      <c r="I26">
        <v>2825.7</v>
      </c>
      <c r="J26">
        <v>5255.8</v>
      </c>
      <c r="K26">
        <v>5608.2</v>
      </c>
    </row>
    <row r="27" spans="1:12" s="4" customFormat="1" x14ac:dyDescent="0.35">
      <c r="A27" s="4" t="s">
        <v>6</v>
      </c>
      <c r="B27">
        <v>81.7</v>
      </c>
      <c r="C27">
        <v>89.4</v>
      </c>
      <c r="D27">
        <v>345.8</v>
      </c>
      <c r="E27">
        <v>75.900000000000006</v>
      </c>
      <c r="F27">
        <v>134.19999999999999</v>
      </c>
      <c r="G27">
        <v>101.8</v>
      </c>
      <c r="H27">
        <v>126.6</v>
      </c>
      <c r="I27">
        <v>187</v>
      </c>
      <c r="J27">
        <v>193.6</v>
      </c>
      <c r="K27">
        <v>194.2</v>
      </c>
    </row>
    <row r="28" spans="1:12" s="4" customFormat="1" x14ac:dyDescent="0.35">
      <c r="A28" s="4" t="s">
        <v>7</v>
      </c>
      <c r="B28">
        <v>7584.7</v>
      </c>
      <c r="C28">
        <v>10127.200000000001</v>
      </c>
      <c r="D28">
        <v>11166.9</v>
      </c>
      <c r="E28">
        <v>10623.8</v>
      </c>
      <c r="F28">
        <v>7102.8</v>
      </c>
      <c r="G28">
        <v>5321</v>
      </c>
      <c r="H28">
        <v>4697.2</v>
      </c>
      <c r="I28">
        <v>10323.1</v>
      </c>
      <c r="J28">
        <v>17424.5</v>
      </c>
      <c r="K28">
        <v>19620</v>
      </c>
    </row>
    <row r="29" spans="1:12" s="4" customFormat="1" x14ac:dyDescent="0.35">
      <c r="A29" s="4" t="s">
        <v>8</v>
      </c>
      <c r="B29">
        <v>2087.5</v>
      </c>
      <c r="C29">
        <v>2616.1999999999998</v>
      </c>
      <c r="D29">
        <v>3286.2</v>
      </c>
      <c r="E29">
        <v>2973.2</v>
      </c>
      <c r="F29">
        <v>1425.2</v>
      </c>
      <c r="G29">
        <v>931.9</v>
      </c>
      <c r="H29">
        <v>817.7</v>
      </c>
      <c r="I29">
        <v>2112.1</v>
      </c>
      <c r="J29">
        <v>3936.3</v>
      </c>
      <c r="K29">
        <v>5119.8</v>
      </c>
    </row>
    <row r="30" spans="1:12" s="4" customFormat="1" x14ac:dyDescent="0.35">
      <c r="A30" s="4" t="s">
        <v>9</v>
      </c>
      <c r="B30">
        <v>5497.2</v>
      </c>
      <c r="C30">
        <v>7509.9</v>
      </c>
      <c r="D30">
        <v>7880</v>
      </c>
      <c r="E30">
        <v>7649.1</v>
      </c>
      <c r="F30">
        <v>5676</v>
      </c>
      <c r="G30">
        <v>4389.1000000000004</v>
      </c>
      <c r="H30">
        <v>3879.5</v>
      </c>
      <c r="I30">
        <v>8211</v>
      </c>
      <c r="J30">
        <v>13488.2</v>
      </c>
      <c r="K30">
        <v>14500.2</v>
      </c>
    </row>
    <row r="31" spans="1:12" s="4" customFormat="1" x14ac:dyDescent="0.35">
      <c r="A31" s="4" t="s">
        <v>35</v>
      </c>
      <c r="B31">
        <v>1057</v>
      </c>
      <c r="C31">
        <v>2265</v>
      </c>
      <c r="D31">
        <v>2416</v>
      </c>
      <c r="E31">
        <v>2416</v>
      </c>
      <c r="F31">
        <v>1812</v>
      </c>
      <c r="G31">
        <v>1359</v>
      </c>
      <c r="H31">
        <v>1812</v>
      </c>
      <c r="I31">
        <v>2718</v>
      </c>
      <c r="J31">
        <v>3930</v>
      </c>
      <c r="K31">
        <v>4244.3999999999996</v>
      </c>
    </row>
    <row r="32" spans="1:12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24</v>
      </c>
    </row>
    <row r="41" spans="1:11" s="7" customFormat="1" x14ac:dyDescent="0.35">
      <c r="A41" s="6" t="s">
        <v>23</v>
      </c>
      <c r="B41" s="5">
        <v>45199</v>
      </c>
      <c r="C41" s="5">
        <v>45291</v>
      </c>
      <c r="D41" s="5">
        <v>45382</v>
      </c>
      <c r="E41" s="5">
        <v>45473</v>
      </c>
      <c r="F41" s="5">
        <v>45565</v>
      </c>
      <c r="G41" s="5">
        <v>45657</v>
      </c>
      <c r="H41" s="5">
        <v>45747</v>
      </c>
      <c r="I41" s="5">
        <v>45838</v>
      </c>
      <c r="J41" s="5">
        <v>45930</v>
      </c>
      <c r="K41" s="5">
        <v>46022</v>
      </c>
    </row>
    <row r="42" spans="1:11" s="4" customFormat="1" x14ac:dyDescent="0.35">
      <c r="A42" s="4" t="s">
        <v>1</v>
      </c>
      <c r="B42">
        <v>37339.4</v>
      </c>
      <c r="C42">
        <v>33512.800000000003</v>
      </c>
      <c r="D42">
        <v>38471.199999999997</v>
      </c>
      <c r="E42">
        <v>35779.4</v>
      </c>
      <c r="F42">
        <v>37449.199999999997</v>
      </c>
      <c r="G42">
        <v>38764.300000000003</v>
      </c>
      <c r="H42">
        <v>40920.1</v>
      </c>
      <c r="I42">
        <v>38605.199999999997</v>
      </c>
      <c r="J42">
        <v>42344.2</v>
      </c>
      <c r="K42">
        <v>49904.1</v>
      </c>
    </row>
    <row r="43" spans="1:11" s="4" customFormat="1" x14ac:dyDescent="0.35">
      <c r="A43" s="4" t="s">
        <v>2</v>
      </c>
      <c r="B43">
        <v>32027.9</v>
      </c>
      <c r="C43">
        <v>29072.799999999999</v>
      </c>
      <c r="D43">
        <v>33250.1</v>
      </c>
      <c r="E43">
        <v>30672.799999999999</v>
      </c>
      <c r="F43">
        <v>32450.400000000001</v>
      </c>
      <c r="G43">
        <v>33687.800000000003</v>
      </c>
      <c r="H43">
        <v>36076.1</v>
      </c>
      <c r="I43">
        <v>33982.6</v>
      </c>
      <c r="J43">
        <v>37258.199999999997</v>
      </c>
      <c r="K43">
        <v>44331</v>
      </c>
    </row>
    <row r="44" spans="1:11" s="4" customFormat="1" x14ac:dyDescent="0.35">
      <c r="A44" s="4" t="s">
        <v>4</v>
      </c>
      <c r="B44">
        <v>957.8</v>
      </c>
      <c r="C44">
        <v>1052.9000000000001</v>
      </c>
      <c r="D44">
        <v>1261</v>
      </c>
      <c r="E44">
        <v>1118.0999999999999</v>
      </c>
      <c r="F44">
        <v>1570.5</v>
      </c>
      <c r="G44">
        <v>1124.8</v>
      </c>
      <c r="H44">
        <v>1583.1</v>
      </c>
      <c r="I44">
        <v>1923.7</v>
      </c>
      <c r="J44">
        <v>1013.5</v>
      </c>
      <c r="K44">
        <v>1140.5</v>
      </c>
    </row>
    <row r="45" spans="1:11" s="4" customFormat="1" x14ac:dyDescent="0.35">
      <c r="A45" s="4" t="s">
        <v>5</v>
      </c>
      <c r="B45">
        <v>1341.9</v>
      </c>
      <c r="C45">
        <v>1301.5</v>
      </c>
      <c r="D45">
        <v>1298.3</v>
      </c>
      <c r="E45">
        <v>1331.7</v>
      </c>
      <c r="F45">
        <v>1385.7</v>
      </c>
      <c r="G45">
        <v>1429</v>
      </c>
      <c r="H45">
        <v>1461.8</v>
      </c>
      <c r="I45">
        <v>1556</v>
      </c>
      <c r="J45">
        <v>1703</v>
      </c>
      <c r="K45">
        <v>1734.6</v>
      </c>
    </row>
    <row r="46" spans="1:11" s="4" customFormat="1" x14ac:dyDescent="0.35">
      <c r="A46" s="4" t="s">
        <v>6</v>
      </c>
      <c r="B46">
        <v>35.1</v>
      </c>
      <c r="C46">
        <v>35.799999999999997</v>
      </c>
      <c r="D46">
        <v>76.2</v>
      </c>
      <c r="E46">
        <v>57.3</v>
      </c>
      <c r="F46">
        <v>43</v>
      </c>
      <c r="G46">
        <v>46.3</v>
      </c>
      <c r="H46">
        <v>47.6</v>
      </c>
      <c r="I46">
        <v>46.8</v>
      </c>
      <c r="J46">
        <v>57.2</v>
      </c>
      <c r="K46">
        <v>61.7</v>
      </c>
    </row>
    <row r="47" spans="1:11" s="4" customFormat="1" x14ac:dyDescent="0.35">
      <c r="A47" s="4" t="s">
        <v>7</v>
      </c>
      <c r="B47">
        <v>4892.3</v>
      </c>
      <c r="C47">
        <v>4155.6000000000004</v>
      </c>
      <c r="D47">
        <v>5107.6000000000004</v>
      </c>
      <c r="E47">
        <v>4835.7</v>
      </c>
      <c r="F47">
        <v>5140.6000000000004</v>
      </c>
      <c r="G47">
        <v>4726</v>
      </c>
      <c r="H47">
        <v>4917.7</v>
      </c>
      <c r="I47">
        <v>4943.5</v>
      </c>
      <c r="J47">
        <v>4339.3</v>
      </c>
      <c r="K47">
        <v>4917.3</v>
      </c>
    </row>
    <row r="48" spans="1:11" s="4" customFormat="1" x14ac:dyDescent="0.35">
      <c r="A48" s="4" t="s">
        <v>8</v>
      </c>
      <c r="B48">
        <v>1106.0999999999999</v>
      </c>
      <c r="C48">
        <v>948.8</v>
      </c>
      <c r="D48" t="s">
        <v>84</v>
      </c>
      <c r="E48">
        <v>1076</v>
      </c>
      <c r="F48">
        <v>2038.1</v>
      </c>
      <c r="G48">
        <v>999.1</v>
      </c>
      <c r="H48">
        <v>1006.6</v>
      </c>
      <c r="I48">
        <v>1151.0999999999999</v>
      </c>
      <c r="J48">
        <v>990.3</v>
      </c>
      <c r="K48">
        <v>1038.2</v>
      </c>
    </row>
    <row r="49" spans="1:11" s="4" customFormat="1" x14ac:dyDescent="0.35">
      <c r="A49" s="4" t="s">
        <v>9</v>
      </c>
      <c r="B49">
        <v>3786.2</v>
      </c>
      <c r="C49">
        <v>3206.8</v>
      </c>
      <c r="D49">
        <v>3952.3</v>
      </c>
      <c r="E49">
        <v>3759.7</v>
      </c>
      <c r="F49">
        <v>3102.5</v>
      </c>
      <c r="G49">
        <v>3726.9</v>
      </c>
      <c r="H49">
        <v>3911.1</v>
      </c>
      <c r="I49">
        <v>3792.4</v>
      </c>
      <c r="J49">
        <v>3349</v>
      </c>
      <c r="K49">
        <v>3879.1</v>
      </c>
    </row>
    <row r="50" spans="1:11" x14ac:dyDescent="0.35">
      <c r="A50" s="4" t="s">
        <v>3</v>
      </c>
      <c r="B50">
        <v>5311.5</v>
      </c>
      <c r="C50">
        <v>4440</v>
      </c>
      <c r="D50">
        <v>5221.1000000000004</v>
      </c>
      <c r="E50">
        <v>5106.6000000000004</v>
      </c>
      <c r="F50">
        <v>4998.8</v>
      </c>
      <c r="G50">
        <v>5076.5</v>
      </c>
      <c r="H50">
        <v>4844</v>
      </c>
      <c r="I50">
        <v>4622.6000000000004</v>
      </c>
      <c r="J50">
        <v>5086</v>
      </c>
      <c r="K50">
        <v>5573.1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25</v>
      </c>
    </row>
    <row r="56" spans="1:11" s="7" customFormat="1" x14ac:dyDescent="0.35">
      <c r="A56" s="6" t="s">
        <v>23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35">
      <c r="A57" s="4" t="s">
        <v>10</v>
      </c>
      <c r="B57">
        <v>151</v>
      </c>
      <c r="C57">
        <v>151</v>
      </c>
      <c r="D57">
        <v>151</v>
      </c>
      <c r="E57">
        <v>151</v>
      </c>
      <c r="F57">
        <v>151</v>
      </c>
      <c r="G57">
        <v>151</v>
      </c>
      <c r="H57">
        <v>151</v>
      </c>
      <c r="I57">
        <v>151</v>
      </c>
      <c r="J57">
        <v>157.19999999999999</v>
      </c>
      <c r="K57">
        <v>157.19999999999999</v>
      </c>
    </row>
    <row r="58" spans="1:11" x14ac:dyDescent="0.35">
      <c r="A58" s="4" t="s">
        <v>11</v>
      </c>
      <c r="B58">
        <v>30465</v>
      </c>
      <c r="C58">
        <v>36924.1</v>
      </c>
      <c r="D58">
        <v>42408.4</v>
      </c>
      <c r="E58">
        <v>46941.1</v>
      </c>
      <c r="F58">
        <v>49262</v>
      </c>
      <c r="G58">
        <v>52349.599999999999</v>
      </c>
      <c r="H58">
        <v>55182.5</v>
      </c>
      <c r="I58">
        <v>61640.3</v>
      </c>
      <c r="J58">
        <v>85478.8</v>
      </c>
      <c r="K58">
        <v>96082.7</v>
      </c>
    </row>
    <row r="59" spans="1:11" x14ac:dyDescent="0.35">
      <c r="A59" s="4" t="s">
        <v>36</v>
      </c>
      <c r="B59">
        <v>230.9</v>
      </c>
      <c r="C59">
        <v>483.6</v>
      </c>
      <c r="D59">
        <v>120.8</v>
      </c>
      <c r="E59">
        <v>159.6</v>
      </c>
      <c r="F59">
        <v>184.1</v>
      </c>
      <c r="G59">
        <v>540.9</v>
      </c>
      <c r="H59">
        <v>425.5</v>
      </c>
      <c r="I59">
        <v>1247.3</v>
      </c>
      <c r="J59">
        <v>118.6</v>
      </c>
      <c r="K59">
        <v>87</v>
      </c>
    </row>
    <row r="60" spans="1:11" x14ac:dyDescent="0.35">
      <c r="A60" s="4" t="s">
        <v>37</v>
      </c>
      <c r="B60">
        <v>11878.6</v>
      </c>
      <c r="C60">
        <v>14401.8</v>
      </c>
      <c r="D60">
        <v>17568.2</v>
      </c>
      <c r="E60">
        <v>16717</v>
      </c>
      <c r="F60">
        <v>14030.6</v>
      </c>
      <c r="G60">
        <v>18334.599999999999</v>
      </c>
      <c r="H60">
        <v>18896.5</v>
      </c>
      <c r="I60">
        <v>21558.3</v>
      </c>
      <c r="J60">
        <v>29549.5</v>
      </c>
      <c r="K60">
        <v>35644.300000000003</v>
      </c>
    </row>
    <row r="61" spans="1:11" s="1" customFormat="1" x14ac:dyDescent="0.35">
      <c r="A61" s="1" t="s">
        <v>12</v>
      </c>
      <c r="B61">
        <v>42725.5</v>
      </c>
      <c r="C61">
        <v>51960.5</v>
      </c>
      <c r="D61">
        <v>60248.4</v>
      </c>
      <c r="E61">
        <v>63968.7</v>
      </c>
      <c r="F61">
        <v>63627.7</v>
      </c>
      <c r="G61">
        <v>71376.100000000006</v>
      </c>
      <c r="H61">
        <v>74655.5</v>
      </c>
      <c r="I61">
        <v>84596.9</v>
      </c>
      <c r="J61">
        <v>115304.1</v>
      </c>
      <c r="K61">
        <v>131971.20000000001</v>
      </c>
    </row>
    <row r="62" spans="1:11" x14ac:dyDescent="0.35">
      <c r="A62" s="4" t="s">
        <v>13</v>
      </c>
      <c r="B62">
        <v>12529.6</v>
      </c>
      <c r="C62">
        <v>13310.7</v>
      </c>
      <c r="D62">
        <v>13388.8</v>
      </c>
      <c r="E62">
        <v>15437.3</v>
      </c>
      <c r="F62">
        <v>15744.4</v>
      </c>
      <c r="G62">
        <v>14988.7</v>
      </c>
      <c r="H62">
        <v>13747.2</v>
      </c>
      <c r="I62">
        <v>17830.400000000001</v>
      </c>
      <c r="J62">
        <v>27864.799999999999</v>
      </c>
      <c r="K62">
        <v>32982.699999999997</v>
      </c>
    </row>
    <row r="63" spans="1:11" x14ac:dyDescent="0.35">
      <c r="A63" s="4" t="s">
        <v>14</v>
      </c>
      <c r="B63">
        <v>1006.9</v>
      </c>
      <c r="C63">
        <v>1252.3</v>
      </c>
      <c r="D63">
        <v>2132.1</v>
      </c>
      <c r="E63">
        <v>1606.9</v>
      </c>
      <c r="F63">
        <v>1415.2</v>
      </c>
      <c r="G63">
        <v>1496.8</v>
      </c>
      <c r="H63">
        <v>2936.5</v>
      </c>
      <c r="I63">
        <v>2904.1</v>
      </c>
      <c r="J63">
        <v>7734.8</v>
      </c>
      <c r="K63">
        <v>7929</v>
      </c>
    </row>
    <row r="64" spans="1:11" x14ac:dyDescent="0.35">
      <c r="A64" s="4" t="s">
        <v>15</v>
      </c>
      <c r="B64">
        <v>20675.8</v>
      </c>
      <c r="C64">
        <v>29150.6</v>
      </c>
      <c r="D64">
        <v>36123.1</v>
      </c>
      <c r="E64">
        <v>37503.599999999999</v>
      </c>
      <c r="F64">
        <v>37488</v>
      </c>
      <c r="G64">
        <v>42944.800000000003</v>
      </c>
      <c r="H64">
        <v>42034.7</v>
      </c>
      <c r="I64">
        <v>49184.3</v>
      </c>
      <c r="J64">
        <v>57296</v>
      </c>
      <c r="K64">
        <v>66265.399999999994</v>
      </c>
    </row>
    <row r="65" spans="1:11" x14ac:dyDescent="0.35">
      <c r="A65" s="4" t="s">
        <v>38</v>
      </c>
      <c r="B65">
        <v>8513.2000000000007</v>
      </c>
      <c r="C65">
        <v>8246.9</v>
      </c>
      <c r="D65">
        <v>8604.4</v>
      </c>
      <c r="E65">
        <v>9420.9</v>
      </c>
      <c r="F65">
        <v>8980.1</v>
      </c>
      <c r="G65">
        <v>11945.8</v>
      </c>
      <c r="H65">
        <v>15937.1</v>
      </c>
      <c r="I65">
        <v>14678.1</v>
      </c>
      <c r="J65">
        <v>22408.5</v>
      </c>
      <c r="K65">
        <v>24794.1</v>
      </c>
    </row>
    <row r="66" spans="1:11" s="1" customFormat="1" x14ac:dyDescent="0.35">
      <c r="A66" s="1" t="s">
        <v>12</v>
      </c>
      <c r="B66">
        <v>42725.5</v>
      </c>
      <c r="C66">
        <v>51960.5</v>
      </c>
      <c r="D66">
        <v>60248.4</v>
      </c>
      <c r="E66">
        <v>63968.7</v>
      </c>
      <c r="F66">
        <v>63627.7</v>
      </c>
      <c r="G66">
        <v>71376.100000000006</v>
      </c>
      <c r="H66">
        <v>74655.5</v>
      </c>
      <c r="I66">
        <v>84596.9</v>
      </c>
      <c r="J66">
        <v>115304.1</v>
      </c>
      <c r="K66">
        <v>131971.20000000001</v>
      </c>
    </row>
    <row r="67" spans="1:11" s="4" customFormat="1" x14ac:dyDescent="0.35">
      <c r="A67" s="4" t="s">
        <v>43</v>
      </c>
      <c r="B67">
        <v>1323.4</v>
      </c>
      <c r="C67">
        <v>1202.5999999999999</v>
      </c>
      <c r="D67">
        <v>1465.4</v>
      </c>
      <c r="E67">
        <v>2312.8000000000002</v>
      </c>
      <c r="F67">
        <v>1977.7</v>
      </c>
      <c r="G67">
        <v>1279.9000000000001</v>
      </c>
      <c r="H67">
        <v>2034.5</v>
      </c>
      <c r="I67">
        <v>3301.4</v>
      </c>
      <c r="J67">
        <v>4596.8</v>
      </c>
      <c r="K67">
        <v>6539.7</v>
      </c>
    </row>
    <row r="68" spans="1:11" x14ac:dyDescent="0.35">
      <c r="A68" s="4" t="s">
        <v>29</v>
      </c>
      <c r="B68">
        <v>3132.6</v>
      </c>
      <c r="C68">
        <v>3263.7</v>
      </c>
      <c r="D68">
        <v>3160.2</v>
      </c>
      <c r="E68">
        <v>3322.6</v>
      </c>
      <c r="F68">
        <v>3213.9</v>
      </c>
      <c r="G68">
        <v>3049</v>
      </c>
      <c r="H68">
        <v>3532.3</v>
      </c>
      <c r="I68">
        <v>4283.5</v>
      </c>
      <c r="J68">
        <v>5318.1</v>
      </c>
      <c r="K68">
        <v>6913.2</v>
      </c>
    </row>
    <row r="69" spans="1:11" x14ac:dyDescent="0.35">
      <c r="A69" s="3" t="s">
        <v>52</v>
      </c>
      <c r="B69">
        <v>50.7</v>
      </c>
      <c r="C69">
        <v>23.5</v>
      </c>
      <c r="D69">
        <v>74</v>
      </c>
      <c r="E69">
        <v>187.8</v>
      </c>
      <c r="F69">
        <v>29</v>
      </c>
      <c r="G69">
        <v>3047.1</v>
      </c>
      <c r="H69">
        <v>3042.2</v>
      </c>
      <c r="I69">
        <v>41.6</v>
      </c>
      <c r="J69">
        <v>2827.4</v>
      </c>
      <c r="K69">
        <v>552.9</v>
      </c>
    </row>
    <row r="70" spans="1:11" x14ac:dyDescent="0.35">
      <c r="A70" s="3" t="s">
        <v>39</v>
      </c>
      <c r="B70">
        <v>302080060</v>
      </c>
      <c r="C70">
        <v>302080060</v>
      </c>
      <c r="D70">
        <v>302080060</v>
      </c>
      <c r="E70">
        <v>302080060</v>
      </c>
      <c r="F70">
        <v>302080060</v>
      </c>
      <c r="G70">
        <v>302080060</v>
      </c>
      <c r="H70">
        <v>302080060</v>
      </c>
      <c r="I70">
        <v>302080060</v>
      </c>
      <c r="J70">
        <v>314402574</v>
      </c>
      <c r="K70">
        <v>314402574</v>
      </c>
    </row>
    <row r="71" spans="1:11" x14ac:dyDescent="0.35">
      <c r="A71" s="3" t="s">
        <v>40</v>
      </c>
    </row>
    <row r="72" spans="1:11" x14ac:dyDescent="0.35">
      <c r="A72" s="3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26</v>
      </c>
    </row>
    <row r="81" spans="1:11" s="7" customFormat="1" x14ac:dyDescent="0.35">
      <c r="A81" s="6" t="s">
        <v>23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35">
      <c r="A82" s="4" t="s">
        <v>17</v>
      </c>
      <c r="B82">
        <v>8482.5</v>
      </c>
      <c r="C82">
        <v>10282</v>
      </c>
      <c r="D82">
        <v>11787.9</v>
      </c>
      <c r="E82">
        <v>6600.9</v>
      </c>
      <c r="F82">
        <v>3495.8</v>
      </c>
      <c r="G82">
        <v>8856.2000000000007</v>
      </c>
      <c r="H82">
        <v>1840.5</v>
      </c>
      <c r="I82">
        <v>9251.4</v>
      </c>
      <c r="J82">
        <v>16801.099999999999</v>
      </c>
      <c r="K82">
        <v>16136.2</v>
      </c>
    </row>
    <row r="83" spans="1:11" s="4" customFormat="1" x14ac:dyDescent="0.35">
      <c r="A83" s="4" t="s">
        <v>18</v>
      </c>
      <c r="B83">
        <v>-7230.4</v>
      </c>
      <c r="C83">
        <v>-9173.2000000000007</v>
      </c>
      <c r="D83">
        <v>-8301.7000000000007</v>
      </c>
      <c r="E83">
        <v>-3539.9</v>
      </c>
      <c r="F83">
        <v>-556.6</v>
      </c>
      <c r="G83">
        <v>-7291.3</v>
      </c>
      <c r="H83">
        <v>-239.2</v>
      </c>
      <c r="I83">
        <v>-8036.1</v>
      </c>
      <c r="J83">
        <v>-11864.8</v>
      </c>
      <c r="K83">
        <v>-14456.1</v>
      </c>
    </row>
    <row r="84" spans="1:11" s="4" customFormat="1" x14ac:dyDescent="0.35">
      <c r="A84" s="4" t="s">
        <v>19</v>
      </c>
      <c r="B84">
        <v>-1236.5999999999999</v>
      </c>
      <c r="C84">
        <v>-1129.3</v>
      </c>
      <c r="D84">
        <v>-3436.1</v>
      </c>
      <c r="E84">
        <v>-2947.9</v>
      </c>
      <c r="F84">
        <v>-3104.3</v>
      </c>
      <c r="G84">
        <v>-1544.9</v>
      </c>
      <c r="H84">
        <v>-1607</v>
      </c>
      <c r="I84">
        <v>-1213.0999999999999</v>
      </c>
      <c r="J84">
        <v>-4062</v>
      </c>
      <c r="K84">
        <v>-4155.1000000000004</v>
      </c>
    </row>
    <row r="85" spans="1:11" s="1" customFormat="1" x14ac:dyDescent="0.35">
      <c r="A85" s="4" t="s">
        <v>20</v>
      </c>
      <c r="B85">
        <v>15.5</v>
      </c>
      <c r="C85">
        <v>-20.5</v>
      </c>
      <c r="D85">
        <v>50.1</v>
      </c>
      <c r="E85">
        <v>113.1</v>
      </c>
      <c r="F85">
        <v>-165.1</v>
      </c>
      <c r="G85">
        <v>20</v>
      </c>
      <c r="H85">
        <v>-5.7</v>
      </c>
      <c r="I85">
        <v>2.2000000000000002</v>
      </c>
      <c r="J85">
        <v>874.3</v>
      </c>
      <c r="K85">
        <v>-2475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42</v>
      </c>
      <c r="B90">
        <v>3716.3</v>
      </c>
      <c r="C90">
        <v>6015.7</v>
      </c>
      <c r="D90">
        <v>8861.1</v>
      </c>
      <c r="E90">
        <v>6672.55</v>
      </c>
      <c r="F90">
        <v>4288.3</v>
      </c>
      <c r="G90">
        <v>6859.2</v>
      </c>
      <c r="H90">
        <v>7561.3</v>
      </c>
      <c r="I90">
        <v>8292.15</v>
      </c>
      <c r="J90">
        <v>12600.35</v>
      </c>
      <c r="K90">
        <v>11522.15</v>
      </c>
    </row>
    <row r="92" spans="1:11" s="1" customFormat="1" x14ac:dyDescent="0.35">
      <c r="A92" s="1" t="s">
        <v>41</v>
      </c>
    </row>
    <row r="93" spans="1:11" x14ac:dyDescent="0.35">
      <c r="A93" s="3" t="s">
        <v>54</v>
      </c>
      <c r="B93" s="8">
        <v>30.21</v>
      </c>
      <c r="C93" s="8">
        <v>30.21</v>
      </c>
      <c r="D93" s="8">
        <v>30.21</v>
      </c>
      <c r="E93" s="8">
        <v>30.21</v>
      </c>
      <c r="F93" s="8">
        <v>30.21</v>
      </c>
      <c r="G93" s="8">
        <v>30.21</v>
      </c>
      <c r="H93" s="8">
        <v>30.21</v>
      </c>
      <c r="I93" s="8">
        <v>30.21</v>
      </c>
      <c r="J93" s="8">
        <v>31.44</v>
      </c>
      <c r="K93" s="8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5C74-ABD4-4324-B25F-368FA1A377D1}">
  <dimension ref="B2:N29"/>
  <sheetViews>
    <sheetView showGridLines="0" topLeftCell="A8" workbookViewId="0">
      <selection activeCell="E23" sqref="E23"/>
    </sheetView>
  </sheetViews>
  <sheetFormatPr defaultRowHeight="14.5" x14ac:dyDescent="0.35"/>
  <cols>
    <col min="1" max="1" width="1.81640625" customWidth="1"/>
    <col min="2" max="2" width="26" bestFit="1" customWidth="1"/>
    <col min="3" max="14" width="6.90625" bestFit="1" customWidth="1"/>
  </cols>
  <sheetData>
    <row r="2" spans="2:14" x14ac:dyDescent="0.35">
      <c r="C2" s="25">
        <v>41699</v>
      </c>
      <c r="D2" s="25">
        <v>42064</v>
      </c>
      <c r="E2" s="25">
        <v>42430</v>
      </c>
      <c r="F2" s="25">
        <v>42795</v>
      </c>
      <c r="G2" s="25">
        <v>43160</v>
      </c>
      <c r="H2" s="25">
        <v>43525</v>
      </c>
      <c r="I2" s="25">
        <v>43891</v>
      </c>
      <c r="J2" s="25">
        <v>44256</v>
      </c>
      <c r="K2" s="25">
        <v>44621</v>
      </c>
      <c r="L2" s="25">
        <v>44986</v>
      </c>
      <c r="M2" s="25">
        <v>45352</v>
      </c>
      <c r="N2" s="25">
        <v>45717</v>
      </c>
    </row>
    <row r="3" spans="2:14" x14ac:dyDescent="0.35">
      <c r="B3" t="s">
        <v>94</v>
      </c>
      <c r="C3" s="26">
        <v>4995</v>
      </c>
      <c r="D3" s="26">
        <v>6449</v>
      </c>
      <c r="E3" s="26">
        <v>8482</v>
      </c>
      <c r="F3" s="26">
        <v>10282</v>
      </c>
      <c r="G3" s="26">
        <v>11788</v>
      </c>
      <c r="H3" s="26">
        <v>6601</v>
      </c>
      <c r="I3" s="26">
        <v>3496</v>
      </c>
      <c r="J3" s="26">
        <v>8856</v>
      </c>
      <c r="K3" s="26">
        <v>1840</v>
      </c>
      <c r="L3" s="26">
        <v>9251</v>
      </c>
      <c r="M3" s="26">
        <v>16801</v>
      </c>
      <c r="N3" s="26">
        <v>16136</v>
      </c>
    </row>
    <row r="4" spans="2:14" x14ac:dyDescent="0.35">
      <c r="B4" t="s">
        <v>95</v>
      </c>
      <c r="C4" s="26">
        <v>5111</v>
      </c>
      <c r="D4" s="26">
        <v>6779</v>
      </c>
      <c r="E4" s="26">
        <v>8935</v>
      </c>
      <c r="F4" s="26">
        <v>10413</v>
      </c>
      <c r="G4" s="26">
        <v>12036</v>
      </c>
      <c r="H4" s="26">
        <v>11060</v>
      </c>
      <c r="I4" s="26">
        <v>7503</v>
      </c>
      <c r="J4" s="26">
        <v>5531</v>
      </c>
      <c r="K4" s="26">
        <v>5832</v>
      </c>
      <c r="L4" s="26">
        <v>11112</v>
      </c>
      <c r="M4" s="26">
        <v>18676</v>
      </c>
      <c r="N4" s="26">
        <v>20322</v>
      </c>
    </row>
    <row r="5" spans="2:14" x14ac:dyDescent="0.35">
      <c r="B5" t="s">
        <v>43</v>
      </c>
      <c r="C5">
        <v>46</v>
      </c>
      <c r="D5">
        <v>345</v>
      </c>
      <c r="E5">
        <v>-204</v>
      </c>
      <c r="F5">
        <v>122</v>
      </c>
      <c r="G5">
        <v>-262</v>
      </c>
      <c r="H5">
        <v>-851</v>
      </c>
      <c r="I5">
        <v>340</v>
      </c>
      <c r="J5">
        <v>696</v>
      </c>
      <c r="K5">
        <v>-764</v>
      </c>
      <c r="L5" s="26">
        <v>-1258</v>
      </c>
      <c r="M5" s="26">
        <v>-1316</v>
      </c>
      <c r="N5" s="26">
        <v>-1969</v>
      </c>
    </row>
    <row r="6" spans="2:14" x14ac:dyDescent="0.35">
      <c r="B6" t="s">
        <v>29</v>
      </c>
      <c r="C6">
        <v>124</v>
      </c>
      <c r="D6">
        <v>-982</v>
      </c>
      <c r="E6">
        <v>-450</v>
      </c>
      <c r="F6">
        <v>-131</v>
      </c>
      <c r="G6">
        <v>104</v>
      </c>
      <c r="H6">
        <v>-162</v>
      </c>
      <c r="I6">
        <v>109</v>
      </c>
      <c r="J6">
        <v>165</v>
      </c>
      <c r="K6">
        <v>-483</v>
      </c>
      <c r="L6">
        <v>-751</v>
      </c>
      <c r="M6">
        <v>125</v>
      </c>
      <c r="N6" s="26">
        <v>-1595</v>
      </c>
    </row>
    <row r="7" spans="2:14" x14ac:dyDescent="0.35">
      <c r="B7" t="s">
        <v>96</v>
      </c>
      <c r="C7">
        <v>813</v>
      </c>
      <c r="D7">
        <v>712</v>
      </c>
      <c r="E7" s="26">
        <v>1789</v>
      </c>
      <c r="F7">
        <v>979</v>
      </c>
      <c r="G7" s="26">
        <v>2128</v>
      </c>
      <c r="H7">
        <v>-858</v>
      </c>
      <c r="I7" s="26">
        <v>-2155</v>
      </c>
      <c r="J7" s="26">
        <v>2680</v>
      </c>
      <c r="K7">
        <v>-396</v>
      </c>
      <c r="L7" s="26">
        <v>2008</v>
      </c>
      <c r="M7" s="26">
        <v>3321</v>
      </c>
      <c r="N7" s="26">
        <v>3509</v>
      </c>
    </row>
    <row r="8" spans="2:14" x14ac:dyDescent="0.35">
      <c r="B8" t="s">
        <v>97</v>
      </c>
      <c r="C8">
        <v>-563</v>
      </c>
      <c r="D8">
        <v>23</v>
      </c>
      <c r="E8">
        <v>-1</v>
      </c>
      <c r="F8">
        <v>1</v>
      </c>
      <c r="G8">
        <v>0</v>
      </c>
      <c r="H8">
        <v>-13</v>
      </c>
      <c r="I8">
        <v>-1</v>
      </c>
      <c r="J8">
        <v>-6</v>
      </c>
      <c r="K8">
        <v>-8</v>
      </c>
      <c r="L8">
        <v>1</v>
      </c>
      <c r="M8">
        <v>-3</v>
      </c>
      <c r="N8">
        <v>-10</v>
      </c>
    </row>
    <row r="9" spans="2:14" x14ac:dyDescent="0.35">
      <c r="B9" t="s">
        <v>98</v>
      </c>
      <c r="C9">
        <v>321</v>
      </c>
      <c r="D9">
        <v>648</v>
      </c>
      <c r="E9">
        <v>325</v>
      </c>
      <c r="F9" s="26">
        <v>1222</v>
      </c>
      <c r="G9">
        <v>839</v>
      </c>
      <c r="H9">
        <v>569</v>
      </c>
      <c r="I9">
        <v>-863</v>
      </c>
      <c r="J9">
        <v>801</v>
      </c>
      <c r="K9" s="26">
        <v>-1162</v>
      </c>
      <c r="L9">
        <v>374</v>
      </c>
      <c r="M9">
        <v>-406</v>
      </c>
      <c r="N9">
        <v>-313</v>
      </c>
    </row>
    <row r="10" spans="2:14" x14ac:dyDescent="0.35">
      <c r="B10" t="s">
        <v>99</v>
      </c>
      <c r="C10">
        <v>742</v>
      </c>
      <c r="D10">
        <v>745</v>
      </c>
      <c r="E10" s="26">
        <v>1460</v>
      </c>
      <c r="F10" s="26">
        <v>2192</v>
      </c>
      <c r="G10" s="26">
        <v>2808</v>
      </c>
      <c r="H10" s="26">
        <v>-1315</v>
      </c>
      <c r="I10" s="26">
        <v>-2570</v>
      </c>
      <c r="J10" s="26">
        <v>4336</v>
      </c>
      <c r="K10" s="26">
        <v>-2813</v>
      </c>
      <c r="L10">
        <v>373</v>
      </c>
      <c r="M10" s="26">
        <v>1722</v>
      </c>
      <c r="N10">
        <v>-378</v>
      </c>
    </row>
    <row r="11" spans="2:14" x14ac:dyDescent="0.35">
      <c r="B11" t="s">
        <v>100</v>
      </c>
      <c r="C11">
        <v>-858</v>
      </c>
      <c r="D11" s="26">
        <v>-1075</v>
      </c>
      <c r="E11" s="26">
        <v>-1912</v>
      </c>
      <c r="F11" s="26">
        <v>-2323</v>
      </c>
      <c r="G11" s="26">
        <v>-3056</v>
      </c>
      <c r="H11" s="26">
        <v>-3144</v>
      </c>
      <c r="I11" s="26">
        <v>-1438</v>
      </c>
      <c r="J11" s="26">
        <v>-1011</v>
      </c>
      <c r="K11" s="26">
        <v>-1178</v>
      </c>
      <c r="L11" s="26">
        <v>-2233</v>
      </c>
      <c r="M11" s="26">
        <v>-3597</v>
      </c>
      <c r="N11" s="26">
        <v>-3807</v>
      </c>
    </row>
    <row r="12" spans="2:14" x14ac:dyDescent="0.35">
      <c r="B12" t="s">
        <v>101</v>
      </c>
      <c r="C12" s="26">
        <v>-4997</v>
      </c>
      <c r="D12" s="26">
        <v>-4491</v>
      </c>
      <c r="E12" s="26">
        <v>-7230</v>
      </c>
      <c r="F12" s="26">
        <v>-9173</v>
      </c>
      <c r="G12" s="26">
        <v>-8302</v>
      </c>
      <c r="H12" s="26">
        <v>-3540</v>
      </c>
      <c r="I12">
        <v>-557</v>
      </c>
      <c r="J12" s="26">
        <v>-7291</v>
      </c>
      <c r="K12">
        <v>-239</v>
      </c>
      <c r="L12" s="26">
        <v>-8036</v>
      </c>
      <c r="M12" s="26">
        <v>-11865</v>
      </c>
      <c r="N12" s="26">
        <v>-14456</v>
      </c>
    </row>
    <row r="13" spans="2:14" x14ac:dyDescent="0.35">
      <c r="B13" t="s">
        <v>102</v>
      </c>
      <c r="C13" s="26">
        <v>-3545</v>
      </c>
      <c r="D13" s="26">
        <v>-3058</v>
      </c>
      <c r="E13" s="26">
        <v>-2469</v>
      </c>
      <c r="F13" s="26">
        <v>-3391</v>
      </c>
      <c r="G13" s="26">
        <v>-3912</v>
      </c>
      <c r="H13" s="26">
        <v>-4872</v>
      </c>
      <c r="I13" s="26">
        <v>-3437</v>
      </c>
      <c r="J13" s="26">
        <v>-2370</v>
      </c>
      <c r="K13" s="26">
        <v>-3459</v>
      </c>
      <c r="L13" s="26">
        <v>-6347</v>
      </c>
      <c r="M13" s="26">
        <v>-9200</v>
      </c>
      <c r="N13" s="26">
        <v>-10641</v>
      </c>
    </row>
    <row r="14" spans="2:14" x14ac:dyDescent="0.35">
      <c r="B14" t="s">
        <v>103</v>
      </c>
      <c r="C14">
        <v>9</v>
      </c>
      <c r="D14">
        <v>16</v>
      </c>
      <c r="E14">
        <v>12</v>
      </c>
      <c r="F14">
        <v>16</v>
      </c>
      <c r="G14">
        <v>26</v>
      </c>
      <c r="H14">
        <v>170</v>
      </c>
      <c r="I14">
        <v>37</v>
      </c>
      <c r="J14">
        <v>42</v>
      </c>
      <c r="K14">
        <v>136</v>
      </c>
      <c r="L14">
        <v>100</v>
      </c>
      <c r="M14">
        <v>45</v>
      </c>
      <c r="N14">
        <v>38</v>
      </c>
    </row>
    <row r="15" spans="2:14" x14ac:dyDescent="0.35">
      <c r="B15" t="s">
        <v>104</v>
      </c>
      <c r="C15" s="26">
        <v>-13100</v>
      </c>
      <c r="D15" s="26">
        <v>-17354</v>
      </c>
      <c r="E15" s="26">
        <v>-12044</v>
      </c>
      <c r="F15" s="26">
        <v>-17716</v>
      </c>
      <c r="G15" s="26">
        <v>-47069</v>
      </c>
      <c r="H15" s="26">
        <v>-52957</v>
      </c>
      <c r="I15" s="26">
        <v>-44205</v>
      </c>
      <c r="J15" s="26">
        <v>-44869</v>
      </c>
      <c r="K15" s="26">
        <v>-60525</v>
      </c>
      <c r="L15" s="26">
        <v>-66597</v>
      </c>
      <c r="M15" s="26">
        <v>-65736</v>
      </c>
      <c r="N15" s="26">
        <v>-73882</v>
      </c>
    </row>
    <row r="16" spans="2:14" x14ac:dyDescent="0.35">
      <c r="B16" t="s">
        <v>105</v>
      </c>
      <c r="C16" s="26">
        <v>10450</v>
      </c>
      <c r="D16" s="26">
        <v>15270</v>
      </c>
      <c r="E16" s="26">
        <v>7378</v>
      </c>
      <c r="F16" s="26">
        <v>11839</v>
      </c>
      <c r="G16" s="26">
        <v>42564</v>
      </c>
      <c r="H16" s="26">
        <v>53986</v>
      </c>
      <c r="I16" s="26">
        <v>46969</v>
      </c>
      <c r="J16" s="26">
        <v>42920</v>
      </c>
      <c r="K16" s="26">
        <v>63579</v>
      </c>
      <c r="L16" s="26">
        <v>61605</v>
      </c>
      <c r="M16" s="26">
        <v>61933</v>
      </c>
      <c r="N16" s="26">
        <v>69795</v>
      </c>
    </row>
    <row r="17" spans="2:14" x14ac:dyDescent="0.35">
      <c r="B17" t="s">
        <v>106</v>
      </c>
      <c r="C17">
        <v>195</v>
      </c>
      <c r="D17">
        <v>152</v>
      </c>
      <c r="E17">
        <v>67</v>
      </c>
      <c r="F17">
        <v>36</v>
      </c>
      <c r="G17">
        <v>68</v>
      </c>
      <c r="H17">
        <v>124</v>
      </c>
      <c r="I17">
        <v>96</v>
      </c>
      <c r="J17">
        <v>67</v>
      </c>
      <c r="K17">
        <v>174</v>
      </c>
      <c r="L17">
        <v>194</v>
      </c>
      <c r="M17">
        <v>372</v>
      </c>
      <c r="N17">
        <v>444</v>
      </c>
    </row>
    <row r="18" spans="2:14" x14ac:dyDescent="0.35">
      <c r="B18" t="s">
        <v>107</v>
      </c>
      <c r="C18">
        <v>54</v>
      </c>
      <c r="D18">
        <v>54</v>
      </c>
      <c r="E18">
        <v>11</v>
      </c>
      <c r="F18">
        <v>13</v>
      </c>
      <c r="G18">
        <v>20</v>
      </c>
      <c r="H18">
        <v>9</v>
      </c>
      <c r="I18">
        <v>4</v>
      </c>
      <c r="J18">
        <v>3</v>
      </c>
      <c r="K18">
        <v>3</v>
      </c>
      <c r="L18">
        <v>6</v>
      </c>
      <c r="M18">
        <v>6</v>
      </c>
      <c r="N18">
        <v>9</v>
      </c>
    </row>
    <row r="19" spans="2:14" x14ac:dyDescent="0.35">
      <c r="B19" t="s">
        <v>108</v>
      </c>
      <c r="C19">
        <v>0</v>
      </c>
      <c r="D19">
        <v>0</v>
      </c>
      <c r="E19">
        <v>0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 t="s">
        <v>109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-15</v>
      </c>
      <c r="J20">
        <v>-65</v>
      </c>
      <c r="K20">
        <v>-146</v>
      </c>
      <c r="L20">
        <v>0</v>
      </c>
      <c r="M20">
        <v>-80</v>
      </c>
      <c r="N20">
        <v>-18</v>
      </c>
    </row>
    <row r="21" spans="2:14" x14ac:dyDescent="0.35">
      <c r="B21" t="s">
        <v>110</v>
      </c>
      <c r="C21">
        <v>940</v>
      </c>
      <c r="D21">
        <v>428</v>
      </c>
      <c r="E21">
        <v>-186</v>
      </c>
      <c r="F21">
        <v>7</v>
      </c>
      <c r="G21">
        <v>0</v>
      </c>
      <c r="H21">
        <v>0</v>
      </c>
      <c r="I21">
        <v>-5</v>
      </c>
      <c r="J21" s="26">
        <v>-3019</v>
      </c>
      <c r="K21">
        <v>-1</v>
      </c>
      <c r="L21" s="26">
        <v>3003</v>
      </c>
      <c r="M21">
        <v>795</v>
      </c>
      <c r="N21">
        <v>-201</v>
      </c>
    </row>
    <row r="22" spans="2:14" x14ac:dyDescent="0.35">
      <c r="B22" t="s">
        <v>111</v>
      </c>
      <c r="C22">
        <v>-74</v>
      </c>
      <c r="D22" s="26">
        <v>-2004</v>
      </c>
      <c r="E22" s="26">
        <v>-1237</v>
      </c>
      <c r="F22" s="26">
        <v>-1129</v>
      </c>
      <c r="G22" s="26">
        <v>-3436</v>
      </c>
      <c r="H22" s="26">
        <v>-2948</v>
      </c>
      <c r="I22" s="26">
        <v>-3104</v>
      </c>
      <c r="J22" s="26">
        <v>-1545</v>
      </c>
      <c r="K22" s="26">
        <v>-1607</v>
      </c>
      <c r="L22" s="26">
        <v>-1213</v>
      </c>
      <c r="M22" s="26">
        <v>-4062</v>
      </c>
      <c r="N22" s="26">
        <v>-4155</v>
      </c>
    </row>
    <row r="23" spans="2:14" x14ac:dyDescent="0.35">
      <c r="B23" t="s">
        <v>112</v>
      </c>
      <c r="C23" s="26">
        <v>1264</v>
      </c>
      <c r="D23">
        <v>92</v>
      </c>
      <c r="E23">
        <v>77</v>
      </c>
      <c r="F23">
        <v>484</v>
      </c>
      <c r="G23">
        <v>10</v>
      </c>
      <c r="H23">
        <v>39</v>
      </c>
      <c r="I23">
        <v>0</v>
      </c>
      <c r="J23">
        <v>380</v>
      </c>
      <c r="K23">
        <v>0</v>
      </c>
      <c r="L23">
        <v>831</v>
      </c>
      <c r="M23">
        <v>0</v>
      </c>
      <c r="N23">
        <v>0</v>
      </c>
    </row>
    <row r="24" spans="2:14" x14ac:dyDescent="0.35">
      <c r="B24" t="s">
        <v>113</v>
      </c>
      <c r="C24">
        <v>-885</v>
      </c>
      <c r="D24" s="26">
        <v>-1449</v>
      </c>
      <c r="E24">
        <v>-313</v>
      </c>
      <c r="F24">
        <v>-231</v>
      </c>
      <c r="G24">
        <v>-373</v>
      </c>
      <c r="H24">
        <v>0</v>
      </c>
      <c r="I24">
        <v>-46</v>
      </c>
      <c r="J24">
        <v>0</v>
      </c>
      <c r="K24">
        <v>-110</v>
      </c>
      <c r="L24">
        <v>0</v>
      </c>
      <c r="M24" s="26">
        <v>-1183</v>
      </c>
      <c r="N24">
        <v>-33</v>
      </c>
    </row>
    <row r="25" spans="2:14" x14ac:dyDescent="0.35">
      <c r="B25" t="s">
        <v>114</v>
      </c>
      <c r="C25">
        <v>-170</v>
      </c>
      <c r="D25">
        <v>-222</v>
      </c>
      <c r="E25">
        <v>-92</v>
      </c>
      <c r="F25">
        <v>-110</v>
      </c>
      <c r="G25">
        <v>-346</v>
      </c>
      <c r="H25">
        <v>-73</v>
      </c>
      <c r="I25">
        <v>-136</v>
      </c>
      <c r="J25">
        <v>-102</v>
      </c>
      <c r="K25">
        <v>-130</v>
      </c>
      <c r="L25">
        <v>-186</v>
      </c>
      <c r="M25">
        <v>-147</v>
      </c>
      <c r="N25">
        <v>-167</v>
      </c>
    </row>
    <row r="26" spans="2:14" x14ac:dyDescent="0.35">
      <c r="B26" t="s">
        <v>115</v>
      </c>
      <c r="C26">
        <v>-242</v>
      </c>
      <c r="D26">
        <v>-362</v>
      </c>
      <c r="E26">
        <v>-755</v>
      </c>
      <c r="F26" s="26">
        <v>-1057</v>
      </c>
      <c r="G26" s="26">
        <v>-2266</v>
      </c>
      <c r="H26" s="26">
        <v>-2417</v>
      </c>
      <c r="I26" s="26">
        <v>-2417</v>
      </c>
      <c r="J26" s="26">
        <v>-1812</v>
      </c>
      <c r="K26" s="26">
        <v>-1359</v>
      </c>
      <c r="L26" s="26">
        <v>-1812</v>
      </c>
      <c r="M26" s="26">
        <v>-2719</v>
      </c>
      <c r="N26" s="26">
        <v>-3930</v>
      </c>
    </row>
    <row r="27" spans="2:14" x14ac:dyDescent="0.35">
      <c r="B27" t="s">
        <v>116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-10</v>
      </c>
      <c r="J27">
        <v>-11</v>
      </c>
      <c r="K27">
        <v>-8</v>
      </c>
      <c r="L27">
        <v>-46</v>
      </c>
      <c r="M27">
        <v>-13</v>
      </c>
      <c r="N27">
        <v>-25</v>
      </c>
    </row>
    <row r="28" spans="2:14" x14ac:dyDescent="0.35">
      <c r="B28" t="s">
        <v>117</v>
      </c>
      <c r="C28">
        <v>-41</v>
      </c>
      <c r="D28">
        <v>-62</v>
      </c>
      <c r="E28">
        <v>-154</v>
      </c>
      <c r="F28">
        <v>-215</v>
      </c>
      <c r="G28">
        <v>-461</v>
      </c>
      <c r="H28">
        <v>-497</v>
      </c>
      <c r="I28">
        <v>-497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5">
      <c r="B29" t="s">
        <v>20</v>
      </c>
      <c r="C29">
        <v>-76</v>
      </c>
      <c r="D29">
        <v>-45</v>
      </c>
      <c r="E29">
        <v>16</v>
      </c>
      <c r="F29">
        <v>-20</v>
      </c>
      <c r="G29">
        <v>50</v>
      </c>
      <c r="H29">
        <v>113</v>
      </c>
      <c r="I29">
        <v>-165</v>
      </c>
      <c r="J29">
        <v>20</v>
      </c>
      <c r="K29">
        <v>-6</v>
      </c>
      <c r="L29">
        <v>2</v>
      </c>
      <c r="M29">
        <v>874</v>
      </c>
      <c r="N29" s="26">
        <v>-2475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9AC6-0F77-4BC9-89D4-A54E9EAD8F90}">
  <dimension ref="B2:O41"/>
  <sheetViews>
    <sheetView showGridLines="0" workbookViewId="0">
      <pane ySplit="2" topLeftCell="A30" activePane="bottomLeft" state="frozen"/>
      <selection activeCell="B1" sqref="B1"/>
      <selection pane="bottomLeft" activeCell="J20" sqref="J20"/>
    </sheetView>
  </sheetViews>
  <sheetFormatPr defaultRowHeight="14.5" x14ac:dyDescent="0.35"/>
  <cols>
    <col min="1" max="1" width="1.81640625" customWidth="1"/>
    <col min="2" max="2" width="23" bestFit="1" customWidth="1"/>
    <col min="3" max="7" width="7" bestFit="1" customWidth="1"/>
    <col min="8" max="8" width="8.81640625" bestFit="1" customWidth="1"/>
    <col min="9" max="10" width="7" bestFit="1" customWidth="1"/>
    <col min="11" max="11" width="8.81640625" bestFit="1" customWidth="1"/>
    <col min="12" max="12" width="7" bestFit="1" customWidth="1"/>
    <col min="13" max="15" width="7.90625" bestFit="1" customWidth="1"/>
  </cols>
  <sheetData>
    <row r="2" spans="2:15" x14ac:dyDescent="0.35">
      <c r="B2" s="9" t="s">
        <v>288</v>
      </c>
      <c r="C2" s="10">
        <v>41699</v>
      </c>
      <c r="D2" s="10">
        <v>42064</v>
      </c>
      <c r="E2" s="10">
        <v>42430</v>
      </c>
      <c r="F2" s="10">
        <v>42795</v>
      </c>
      <c r="G2" s="10">
        <v>43160</v>
      </c>
      <c r="H2" s="10">
        <v>43525</v>
      </c>
      <c r="I2" s="10">
        <v>43891</v>
      </c>
      <c r="J2" s="10">
        <v>44256</v>
      </c>
      <c r="K2" s="10">
        <v>44621</v>
      </c>
      <c r="L2" s="10">
        <v>44986</v>
      </c>
      <c r="M2" s="10">
        <v>45352</v>
      </c>
      <c r="N2" s="10">
        <v>45717</v>
      </c>
      <c r="O2" s="10">
        <v>45901</v>
      </c>
    </row>
    <row r="3" spans="2:15" x14ac:dyDescent="0.35"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2:15" x14ac:dyDescent="0.35">
      <c r="B4" s="2" t="s">
        <v>257</v>
      </c>
      <c r="C4">
        <v>151</v>
      </c>
      <c r="D4">
        <v>151</v>
      </c>
      <c r="E4">
        <v>151</v>
      </c>
      <c r="F4">
        <v>151</v>
      </c>
      <c r="G4">
        <v>151</v>
      </c>
      <c r="H4">
        <v>151</v>
      </c>
      <c r="I4">
        <v>151</v>
      </c>
      <c r="J4">
        <v>151</v>
      </c>
      <c r="K4">
        <v>151</v>
      </c>
      <c r="L4">
        <v>151</v>
      </c>
      <c r="M4">
        <v>157</v>
      </c>
      <c r="N4">
        <v>157</v>
      </c>
      <c r="O4">
        <v>157</v>
      </c>
    </row>
    <row r="5" spans="2:15" x14ac:dyDescent="0.35">
      <c r="B5" s="92" t="s">
        <v>11</v>
      </c>
      <c r="C5" s="93">
        <v>21345</v>
      </c>
      <c r="D5" s="93">
        <v>24167</v>
      </c>
      <c r="E5" s="93">
        <v>30465</v>
      </c>
      <c r="F5" s="93">
        <v>36924</v>
      </c>
      <c r="G5" s="93">
        <v>42408</v>
      </c>
      <c r="H5" s="93">
        <v>46941</v>
      </c>
      <c r="I5" s="93">
        <v>49262</v>
      </c>
      <c r="J5" s="93">
        <v>52350</v>
      </c>
      <c r="K5" s="93">
        <v>55182</v>
      </c>
      <c r="L5" s="93">
        <v>61640</v>
      </c>
      <c r="M5" s="93">
        <v>85479</v>
      </c>
      <c r="N5" s="93">
        <v>96083</v>
      </c>
      <c r="O5" s="93">
        <v>99587</v>
      </c>
    </row>
    <row r="6" spans="2:15" x14ac:dyDescent="0.35">
      <c r="B6" s="92" t="s">
        <v>258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2:15" x14ac:dyDescent="0.35">
      <c r="B7" s="93" t="s">
        <v>259</v>
      </c>
      <c r="C7" s="93">
        <v>627</v>
      </c>
      <c r="D7" s="93">
        <v>278</v>
      </c>
      <c r="E7" s="93">
        <v>0</v>
      </c>
      <c r="F7" s="93">
        <v>0</v>
      </c>
      <c r="G7" s="93">
        <v>10</v>
      </c>
      <c r="H7" s="93">
        <v>8</v>
      </c>
      <c r="I7" s="93">
        <v>5</v>
      </c>
      <c r="J7" s="93">
        <v>3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</row>
    <row r="8" spans="2:15" x14ac:dyDescent="0.35">
      <c r="B8" s="93" t="s">
        <v>260</v>
      </c>
      <c r="C8" s="93">
        <v>1238</v>
      </c>
      <c r="D8" s="93">
        <v>52</v>
      </c>
      <c r="E8" s="93">
        <v>77</v>
      </c>
      <c r="F8" s="93">
        <v>484</v>
      </c>
      <c r="G8" s="93">
        <v>111</v>
      </c>
      <c r="H8" s="93">
        <v>150</v>
      </c>
      <c r="I8" s="93">
        <v>106</v>
      </c>
      <c r="J8" s="93">
        <v>489</v>
      </c>
      <c r="K8" s="93">
        <v>382</v>
      </c>
      <c r="L8" s="93">
        <v>1216</v>
      </c>
      <c r="M8" s="93">
        <v>33</v>
      </c>
      <c r="N8" s="93">
        <v>0</v>
      </c>
      <c r="O8" s="93">
        <v>0</v>
      </c>
    </row>
    <row r="9" spans="2:15" x14ac:dyDescent="0.35">
      <c r="B9" s="93" t="s">
        <v>261</v>
      </c>
      <c r="C9" s="93">
        <v>0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v>70</v>
      </c>
      <c r="J9" s="93">
        <v>47</v>
      </c>
      <c r="K9" s="93">
        <v>41</v>
      </c>
      <c r="L9" s="93">
        <v>32</v>
      </c>
      <c r="M9" s="93">
        <v>86</v>
      </c>
      <c r="N9" s="93">
        <v>87</v>
      </c>
      <c r="O9" s="93">
        <v>100</v>
      </c>
    </row>
    <row r="10" spans="2:15" x14ac:dyDescent="0.35">
      <c r="B10" s="93" t="s">
        <v>262</v>
      </c>
      <c r="C10" s="93">
        <v>139</v>
      </c>
      <c r="D10" s="93">
        <v>335</v>
      </c>
      <c r="E10" s="93">
        <v>154</v>
      </c>
      <c r="F10" s="93">
        <v>0</v>
      </c>
      <c r="G10" s="93">
        <v>0</v>
      </c>
      <c r="H10" s="93">
        <v>2</v>
      </c>
      <c r="I10" s="93">
        <v>2</v>
      </c>
      <c r="J10" s="93">
        <v>3</v>
      </c>
      <c r="K10" s="93">
        <v>3</v>
      </c>
      <c r="L10" s="93">
        <v>0</v>
      </c>
      <c r="M10" s="93">
        <v>0</v>
      </c>
      <c r="N10" s="93">
        <v>0</v>
      </c>
      <c r="O10" s="93"/>
    </row>
    <row r="11" spans="2:15" x14ac:dyDescent="0.35"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</row>
    <row r="12" spans="2:15" x14ac:dyDescent="0.35">
      <c r="B12" s="92" t="s">
        <v>263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</row>
    <row r="13" spans="2:15" x14ac:dyDescent="0.35">
      <c r="B13" s="93" t="s">
        <v>264</v>
      </c>
      <c r="C13" s="93">
        <v>12</v>
      </c>
      <c r="D13" s="93">
        <v>13</v>
      </c>
      <c r="E13" s="93">
        <v>14</v>
      </c>
      <c r="F13" s="93">
        <v>15</v>
      </c>
      <c r="G13" s="93">
        <v>16</v>
      </c>
      <c r="H13" s="93">
        <v>18</v>
      </c>
      <c r="I13" s="93">
        <v>19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</row>
    <row r="14" spans="2:15" x14ac:dyDescent="0.35">
      <c r="B14" s="93" t="s">
        <v>265</v>
      </c>
      <c r="C14" s="93">
        <v>4999</v>
      </c>
      <c r="D14" s="93">
        <v>5514</v>
      </c>
      <c r="E14" s="93">
        <v>7409</v>
      </c>
      <c r="F14" s="93">
        <v>8369</v>
      </c>
      <c r="G14" s="93">
        <v>10499</v>
      </c>
      <c r="H14" s="93">
        <v>9638</v>
      </c>
      <c r="I14" s="93">
        <v>7499</v>
      </c>
      <c r="J14" s="93">
        <v>10168</v>
      </c>
      <c r="K14" s="93">
        <v>9765</v>
      </c>
      <c r="L14" s="93">
        <v>11786</v>
      </c>
      <c r="M14" s="93">
        <v>16988</v>
      </c>
      <c r="N14" s="93">
        <v>20502</v>
      </c>
      <c r="O14" s="93">
        <v>22282</v>
      </c>
    </row>
    <row r="15" spans="2:15" x14ac:dyDescent="0.35">
      <c r="B15" s="93" t="s">
        <v>266</v>
      </c>
      <c r="C15" s="93">
        <v>209</v>
      </c>
      <c r="D15" s="93">
        <v>428</v>
      </c>
      <c r="E15" s="93">
        <v>506</v>
      </c>
      <c r="F15" s="93">
        <v>941</v>
      </c>
      <c r="G15" s="93">
        <v>1152</v>
      </c>
      <c r="H15" s="93">
        <v>418</v>
      </c>
      <c r="I15" s="93">
        <v>468</v>
      </c>
      <c r="J15" s="93">
        <v>1019</v>
      </c>
      <c r="K15" s="93">
        <v>1124</v>
      </c>
      <c r="L15" s="93">
        <v>1456</v>
      </c>
      <c r="M15" s="93">
        <v>1464</v>
      </c>
      <c r="N15" s="93">
        <v>1135</v>
      </c>
      <c r="O15" s="93"/>
    </row>
    <row r="16" spans="2:15" x14ac:dyDescent="0.35">
      <c r="B16" t="s">
        <v>267</v>
      </c>
      <c r="C16" s="26">
        <v>2755</v>
      </c>
      <c r="D16" s="26">
        <v>3538</v>
      </c>
      <c r="E16" s="26">
        <v>3950</v>
      </c>
      <c r="F16" s="26">
        <v>5076</v>
      </c>
      <c r="G16" s="26">
        <v>5900</v>
      </c>
      <c r="H16" s="26">
        <v>6644</v>
      </c>
      <c r="I16" s="26">
        <v>6045</v>
      </c>
      <c r="J16" s="26">
        <v>7148</v>
      </c>
      <c r="K16" s="26">
        <v>8007</v>
      </c>
      <c r="L16" s="26">
        <v>8317</v>
      </c>
      <c r="M16" s="26">
        <v>11098</v>
      </c>
      <c r="N16" s="26">
        <v>14008</v>
      </c>
      <c r="O16" s="26">
        <v>16328</v>
      </c>
    </row>
    <row r="17" spans="2:15" ht="15" thickBot="1" x14ac:dyDescent="0.4">
      <c r="B17" s="80" t="s">
        <v>268</v>
      </c>
      <c r="C17" s="91">
        <v>31476</v>
      </c>
      <c r="D17" s="91">
        <v>34477</v>
      </c>
      <c r="E17" s="91">
        <v>42726</v>
      </c>
      <c r="F17" s="91">
        <v>51960</v>
      </c>
      <c r="G17" s="91">
        <v>60248</v>
      </c>
      <c r="H17" s="91">
        <v>63969</v>
      </c>
      <c r="I17" s="91">
        <v>63628</v>
      </c>
      <c r="J17" s="91">
        <v>71376</v>
      </c>
      <c r="K17" s="91">
        <v>74656</v>
      </c>
      <c r="L17" s="91">
        <v>84597</v>
      </c>
      <c r="M17" s="91">
        <v>115304</v>
      </c>
      <c r="N17" s="91">
        <v>131971</v>
      </c>
      <c r="O17" s="91">
        <v>138453</v>
      </c>
    </row>
    <row r="18" spans="2:15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2:15" x14ac:dyDescent="0.35">
      <c r="B19" s="97" t="s">
        <v>269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</row>
    <row r="20" spans="2:15" x14ac:dyDescent="0.35">
      <c r="B20" s="95" t="s">
        <v>270</v>
      </c>
      <c r="C20" s="95">
        <v>1630</v>
      </c>
      <c r="D20" s="95">
        <v>2100</v>
      </c>
      <c r="E20" s="95">
        <v>1902</v>
      </c>
      <c r="F20" s="95">
        <v>1963</v>
      </c>
      <c r="G20" s="95">
        <v>3212</v>
      </c>
      <c r="H20" s="95">
        <v>3914</v>
      </c>
      <c r="I20" s="95">
        <v>4569</v>
      </c>
      <c r="J20" s="95">
        <v>4566</v>
      </c>
      <c r="K20" s="95">
        <v>4592</v>
      </c>
      <c r="L20" s="95">
        <v>6757</v>
      </c>
      <c r="M20" s="95">
        <v>6896</v>
      </c>
      <c r="N20" s="95">
        <v>6921</v>
      </c>
      <c r="O20" s="95"/>
    </row>
    <row r="21" spans="2:15" x14ac:dyDescent="0.35">
      <c r="B21" s="95" t="s">
        <v>271</v>
      </c>
      <c r="C21" s="95">
        <v>1760</v>
      </c>
      <c r="D21" s="95">
        <v>1882</v>
      </c>
      <c r="E21" s="95">
        <v>1513</v>
      </c>
      <c r="F21" s="95">
        <v>1835</v>
      </c>
      <c r="G21" s="95">
        <v>1983</v>
      </c>
      <c r="H21" s="95">
        <v>2333</v>
      </c>
      <c r="I21" s="95">
        <v>2697</v>
      </c>
      <c r="J21" s="95">
        <v>2831</v>
      </c>
      <c r="K21" s="95">
        <v>2955</v>
      </c>
      <c r="L21" s="95">
        <v>3206</v>
      </c>
      <c r="M21" s="95">
        <v>5604</v>
      </c>
      <c r="N21" s="95">
        <v>8158</v>
      </c>
      <c r="O21" s="95"/>
    </row>
    <row r="22" spans="2:15" x14ac:dyDescent="0.35">
      <c r="B22" s="95" t="s">
        <v>272</v>
      </c>
      <c r="C22" s="95">
        <v>18866</v>
      </c>
      <c r="D22" s="95">
        <v>21802</v>
      </c>
      <c r="E22" s="95">
        <v>11163</v>
      </c>
      <c r="F22" s="95">
        <v>13888</v>
      </c>
      <c r="G22" s="95">
        <v>15082</v>
      </c>
      <c r="H22" s="95">
        <v>18550</v>
      </c>
      <c r="I22" s="95">
        <v>20775</v>
      </c>
      <c r="J22" s="95">
        <v>22262</v>
      </c>
      <c r="K22" s="95">
        <v>22712</v>
      </c>
      <c r="L22" s="95">
        <v>26174</v>
      </c>
      <c r="M22" s="95">
        <v>44745</v>
      </c>
      <c r="N22" s="95">
        <v>51915</v>
      </c>
      <c r="O22" s="95"/>
    </row>
    <row r="23" spans="2:15" x14ac:dyDescent="0.35">
      <c r="B23" s="95" t="s">
        <v>273</v>
      </c>
      <c r="C23" s="95">
        <v>172</v>
      </c>
      <c r="D23" s="95">
        <v>193</v>
      </c>
      <c r="E23" s="95">
        <v>83</v>
      </c>
      <c r="F23" s="95">
        <v>135</v>
      </c>
      <c r="G23" s="95">
        <v>172</v>
      </c>
      <c r="H23" s="95">
        <v>208</v>
      </c>
      <c r="I23" s="95">
        <v>238</v>
      </c>
      <c r="J23" s="95">
        <v>292</v>
      </c>
      <c r="K23" s="95">
        <v>324</v>
      </c>
      <c r="L23" s="95">
        <v>368</v>
      </c>
      <c r="M23" s="95">
        <v>601</v>
      </c>
      <c r="N23" s="95">
        <v>698</v>
      </c>
      <c r="O23" s="95"/>
    </row>
    <row r="24" spans="2:15" x14ac:dyDescent="0.35">
      <c r="B24" s="95" t="s">
        <v>274</v>
      </c>
      <c r="C24" s="95">
        <v>133</v>
      </c>
      <c r="D24" s="95">
        <v>144</v>
      </c>
      <c r="E24" s="95">
        <v>109</v>
      </c>
      <c r="F24" s="95">
        <v>140</v>
      </c>
      <c r="G24" s="95">
        <v>206</v>
      </c>
      <c r="H24" s="95">
        <v>270</v>
      </c>
      <c r="I24" s="95">
        <v>347</v>
      </c>
      <c r="J24" s="95">
        <v>403</v>
      </c>
      <c r="K24" s="95">
        <v>445</v>
      </c>
      <c r="L24" s="95">
        <v>485</v>
      </c>
      <c r="M24" s="95">
        <v>636</v>
      </c>
      <c r="N24" s="95">
        <v>698</v>
      </c>
      <c r="O24" s="95"/>
    </row>
    <row r="25" spans="2:15" x14ac:dyDescent="0.35">
      <c r="B25" s="95" t="s">
        <v>275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73</v>
      </c>
      <c r="M25" s="95">
        <v>74</v>
      </c>
      <c r="N25" s="95">
        <v>94</v>
      </c>
      <c r="O25" s="95"/>
    </row>
    <row r="26" spans="2:15" x14ac:dyDescent="0.35">
      <c r="B26" s="95" t="s">
        <v>276</v>
      </c>
      <c r="C26" s="95">
        <v>92</v>
      </c>
      <c r="D26" s="95">
        <v>108</v>
      </c>
      <c r="E26" s="95">
        <v>104</v>
      </c>
      <c r="F26" s="95">
        <v>130</v>
      </c>
      <c r="G26" s="95">
        <v>162</v>
      </c>
      <c r="H26" s="95">
        <v>184</v>
      </c>
      <c r="I26" s="95">
        <v>206</v>
      </c>
      <c r="J26" s="95">
        <v>174</v>
      </c>
      <c r="K26" s="95">
        <v>248</v>
      </c>
      <c r="L26" s="95">
        <v>282</v>
      </c>
      <c r="M26" s="95">
        <v>448</v>
      </c>
      <c r="N26" s="95">
        <v>568</v>
      </c>
      <c r="O26" s="95"/>
    </row>
    <row r="27" spans="2:15" x14ac:dyDescent="0.35">
      <c r="B27" s="95" t="s">
        <v>277</v>
      </c>
      <c r="C27" s="95">
        <v>0</v>
      </c>
      <c r="D27" s="95">
        <v>0</v>
      </c>
      <c r="E27" s="95">
        <v>0</v>
      </c>
      <c r="F27" s="95">
        <v>0</v>
      </c>
      <c r="G27" s="95">
        <v>0</v>
      </c>
      <c r="H27" s="95">
        <v>0</v>
      </c>
      <c r="I27" s="95">
        <v>0</v>
      </c>
      <c r="J27" s="95">
        <v>0</v>
      </c>
      <c r="K27" s="95">
        <v>0</v>
      </c>
      <c r="L27" s="95">
        <v>0</v>
      </c>
      <c r="M27" s="95">
        <v>0</v>
      </c>
      <c r="N27" s="95">
        <v>0</v>
      </c>
      <c r="O27" s="95">
        <v>896</v>
      </c>
    </row>
    <row r="28" spans="2:15" x14ac:dyDescent="0.35">
      <c r="B28" s="95" t="s">
        <v>278</v>
      </c>
      <c r="C28" s="95">
        <v>452</v>
      </c>
      <c r="D28" s="95">
        <v>674</v>
      </c>
      <c r="E28" s="95">
        <v>468</v>
      </c>
      <c r="F28" s="95">
        <v>589</v>
      </c>
      <c r="G28" s="95">
        <v>640</v>
      </c>
      <c r="H28" s="95">
        <v>907</v>
      </c>
      <c r="I28" s="95">
        <v>937</v>
      </c>
      <c r="J28" s="95">
        <v>967</v>
      </c>
      <c r="K28" s="95">
        <v>1254</v>
      </c>
      <c r="L28" s="95">
        <v>1660</v>
      </c>
      <c r="M28" s="95">
        <v>1783</v>
      </c>
      <c r="N28" s="95">
        <v>2002</v>
      </c>
      <c r="O28" s="95"/>
    </row>
    <row r="29" spans="2:15" x14ac:dyDescent="0.3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2:15" x14ac:dyDescent="0.35">
      <c r="B30" s="96" t="s">
        <v>279</v>
      </c>
      <c r="C30" s="96">
        <v>23105</v>
      </c>
      <c r="D30" s="96">
        <v>26902</v>
      </c>
      <c r="E30" s="96">
        <v>15343</v>
      </c>
      <c r="F30" s="96">
        <v>18680</v>
      </c>
      <c r="G30" s="96">
        <v>21458</v>
      </c>
      <c r="H30" s="96">
        <v>26365</v>
      </c>
      <c r="I30" s="96">
        <v>29768</v>
      </c>
      <c r="J30" s="96">
        <v>31496</v>
      </c>
      <c r="K30" s="96">
        <v>32530</v>
      </c>
      <c r="L30" s="96">
        <v>39004</v>
      </c>
      <c r="M30" s="96">
        <v>60787</v>
      </c>
      <c r="N30" s="96">
        <v>71052</v>
      </c>
      <c r="O30" s="96"/>
    </row>
    <row r="31" spans="2:15" x14ac:dyDescent="0.35">
      <c r="B31" s="97" t="s">
        <v>280</v>
      </c>
      <c r="C31" s="97">
        <v>12071</v>
      </c>
      <c r="D31" s="97">
        <v>14412</v>
      </c>
      <c r="E31" s="97">
        <v>2813</v>
      </c>
      <c r="F31" s="97">
        <v>5370</v>
      </c>
      <c r="G31" s="97">
        <v>8069</v>
      </c>
      <c r="H31" s="97">
        <v>10928</v>
      </c>
      <c r="I31" s="97">
        <v>14024</v>
      </c>
      <c r="J31" s="97">
        <v>16508</v>
      </c>
      <c r="K31" s="97">
        <v>18783</v>
      </c>
      <c r="L31" s="97">
        <v>21174</v>
      </c>
      <c r="M31" s="97">
        <v>32922</v>
      </c>
      <c r="N31" s="97">
        <v>38070</v>
      </c>
      <c r="O31" s="97"/>
    </row>
    <row r="32" spans="2:15" x14ac:dyDescent="0.35">
      <c r="B32" s="97" t="s">
        <v>281</v>
      </c>
      <c r="C32" s="97">
        <v>2640</v>
      </c>
      <c r="D32" s="97">
        <v>1890</v>
      </c>
      <c r="E32" s="97">
        <v>1007</v>
      </c>
      <c r="F32" s="97">
        <v>1252</v>
      </c>
      <c r="G32" s="97">
        <v>2132</v>
      </c>
      <c r="H32" s="97">
        <v>1607</v>
      </c>
      <c r="I32" s="97">
        <v>1415</v>
      </c>
      <c r="J32" s="97">
        <v>1497</v>
      </c>
      <c r="K32" s="97">
        <v>2936</v>
      </c>
      <c r="L32" s="97">
        <v>2904</v>
      </c>
      <c r="M32" s="97">
        <v>7735</v>
      </c>
      <c r="N32" s="97">
        <v>7929</v>
      </c>
      <c r="O32" s="97">
        <v>7902</v>
      </c>
    </row>
    <row r="33" spans="2:15" x14ac:dyDescent="0.35">
      <c r="B33" s="98" t="s">
        <v>15</v>
      </c>
      <c r="C33" s="98">
        <v>10527</v>
      </c>
      <c r="D33" s="98">
        <v>13298</v>
      </c>
      <c r="E33" s="98">
        <v>20676</v>
      </c>
      <c r="F33" s="98">
        <v>29151</v>
      </c>
      <c r="G33" s="98">
        <v>36123</v>
      </c>
      <c r="H33" s="98">
        <v>37504</v>
      </c>
      <c r="I33" s="98">
        <v>37488</v>
      </c>
      <c r="J33" s="98">
        <v>42945</v>
      </c>
      <c r="K33" s="98">
        <v>42035</v>
      </c>
      <c r="L33" s="98">
        <v>49184</v>
      </c>
      <c r="M33" s="98">
        <v>57296</v>
      </c>
      <c r="N33" s="98">
        <v>66265</v>
      </c>
      <c r="O33" s="98">
        <v>65473</v>
      </c>
    </row>
    <row r="34" spans="2:15" x14ac:dyDescent="0.35">
      <c r="B34" s="2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2:15" x14ac:dyDescent="0.35">
      <c r="B35" s="97" t="s">
        <v>282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5">
      <c r="B36" s="100" t="s">
        <v>283</v>
      </c>
      <c r="C36" s="100">
        <v>1763</v>
      </c>
      <c r="D36" s="100">
        <v>2745</v>
      </c>
      <c r="E36" s="100">
        <v>3133</v>
      </c>
      <c r="F36" s="100">
        <v>3264</v>
      </c>
      <c r="G36" s="100">
        <v>3160</v>
      </c>
      <c r="H36" s="100">
        <v>3323</v>
      </c>
      <c r="I36" s="100">
        <v>3214</v>
      </c>
      <c r="J36" s="100">
        <v>3049</v>
      </c>
      <c r="K36" s="100">
        <v>3532</v>
      </c>
      <c r="L36" s="100">
        <v>4284</v>
      </c>
      <c r="M36" s="100">
        <v>5318</v>
      </c>
      <c r="N36" s="100">
        <v>6913</v>
      </c>
      <c r="O36" s="100">
        <v>10850</v>
      </c>
    </row>
    <row r="37" spans="2:15" x14ac:dyDescent="0.35">
      <c r="B37" s="100" t="s">
        <v>284</v>
      </c>
      <c r="C37" s="100">
        <v>1489</v>
      </c>
      <c r="D37" s="100">
        <v>1144</v>
      </c>
      <c r="E37" s="100">
        <v>1323</v>
      </c>
      <c r="F37" s="100">
        <v>1203</v>
      </c>
      <c r="G37" s="100">
        <v>1465</v>
      </c>
      <c r="H37" s="100">
        <v>2313</v>
      </c>
      <c r="I37" s="100">
        <v>1978</v>
      </c>
      <c r="J37" s="100">
        <v>1280</v>
      </c>
      <c r="K37" s="100">
        <v>2034</v>
      </c>
      <c r="L37" s="100">
        <v>3301</v>
      </c>
      <c r="M37" s="100">
        <v>4597</v>
      </c>
      <c r="N37" s="100">
        <v>6540</v>
      </c>
      <c r="O37" s="100">
        <v>7330</v>
      </c>
    </row>
    <row r="38" spans="2:15" x14ac:dyDescent="0.35">
      <c r="B38" s="100" t="s">
        <v>285</v>
      </c>
      <c r="C38" s="100">
        <v>649</v>
      </c>
      <c r="D38" s="100">
        <v>43</v>
      </c>
      <c r="E38" s="100">
        <v>51</v>
      </c>
      <c r="F38" s="100">
        <v>24</v>
      </c>
      <c r="G38" s="100">
        <v>74</v>
      </c>
      <c r="H38" s="100">
        <v>188</v>
      </c>
      <c r="I38" s="100">
        <v>29</v>
      </c>
      <c r="J38" s="100">
        <v>3047</v>
      </c>
      <c r="K38" s="100">
        <v>3042</v>
      </c>
      <c r="L38" s="100">
        <v>42</v>
      </c>
      <c r="M38" s="100">
        <v>2827</v>
      </c>
      <c r="N38" s="100">
        <v>553</v>
      </c>
      <c r="O38" s="100">
        <v>668</v>
      </c>
    </row>
    <row r="39" spans="2:15" x14ac:dyDescent="0.35">
      <c r="B39" s="100" t="s">
        <v>286</v>
      </c>
      <c r="C39" s="100">
        <v>188</v>
      </c>
      <c r="D39" s="100">
        <v>126</v>
      </c>
      <c r="E39" s="100">
        <v>623</v>
      </c>
      <c r="F39" s="100">
        <v>688</v>
      </c>
      <c r="G39" s="100">
        <v>1290</v>
      </c>
      <c r="H39" s="100">
        <v>1160</v>
      </c>
      <c r="I39" s="100">
        <v>1362</v>
      </c>
      <c r="J39" s="100">
        <v>1412</v>
      </c>
      <c r="K39" s="100">
        <v>2880</v>
      </c>
      <c r="L39" s="100">
        <v>2828</v>
      </c>
      <c r="M39" s="100">
        <v>266</v>
      </c>
      <c r="N39" s="100">
        <v>851</v>
      </c>
      <c r="O39" s="100">
        <v>519</v>
      </c>
    </row>
    <row r="40" spans="2:15" x14ac:dyDescent="0.35">
      <c r="B40" s="94" t="s">
        <v>287</v>
      </c>
      <c r="C40" s="94">
        <v>3187</v>
      </c>
      <c r="D40" s="94">
        <v>2741</v>
      </c>
      <c r="E40" s="94">
        <v>3384</v>
      </c>
      <c r="F40" s="94">
        <v>3069</v>
      </c>
      <c r="G40" s="94">
        <v>2615</v>
      </c>
      <c r="H40" s="94">
        <v>2438</v>
      </c>
      <c r="I40" s="94">
        <v>2398</v>
      </c>
      <c r="J40" s="94">
        <v>3158</v>
      </c>
      <c r="K40" s="94">
        <v>4448</v>
      </c>
      <c r="L40" s="94">
        <v>4223</v>
      </c>
      <c r="M40" s="94">
        <v>9400</v>
      </c>
      <c r="N40" s="94">
        <v>9937</v>
      </c>
      <c r="O40" s="94">
        <v>10210</v>
      </c>
    </row>
    <row r="41" spans="2:15" ht="15" thickBot="1" x14ac:dyDescent="0.4">
      <c r="B41" s="99" t="s">
        <v>91</v>
      </c>
      <c r="C41" s="99">
        <v>31476</v>
      </c>
      <c r="D41" s="99">
        <v>34477</v>
      </c>
      <c r="E41" s="99">
        <v>42726</v>
      </c>
      <c r="F41" s="99">
        <v>51960</v>
      </c>
      <c r="G41" s="99">
        <v>60248</v>
      </c>
      <c r="H41" s="99">
        <v>63969</v>
      </c>
      <c r="I41" s="99">
        <v>63628</v>
      </c>
      <c r="J41" s="99">
        <v>71376</v>
      </c>
      <c r="K41" s="99">
        <v>74656</v>
      </c>
      <c r="L41" s="99">
        <v>84597</v>
      </c>
      <c r="M41" s="99">
        <v>115304</v>
      </c>
      <c r="N41" s="99">
        <v>131971</v>
      </c>
      <c r="O41" s="99">
        <v>138453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FINANCIALS&gt;</vt:lpstr>
      <vt:lpstr>HISTORIACLFINANCIALS</vt:lpstr>
      <vt:lpstr>RATIO ANALYSIS</vt:lpstr>
      <vt:lpstr>FORECASTING</vt:lpstr>
      <vt:lpstr>WACC</vt:lpstr>
      <vt:lpstr>Beta_Comp</vt:lpstr>
      <vt:lpstr>REGRESSION</vt:lpstr>
      <vt:lpstr>Market Return</vt:lpstr>
      <vt:lpstr>Instrinsic Growth</vt:lpstr>
      <vt:lpstr>DCF</vt:lpstr>
      <vt:lpstr>Data_Room&gt;</vt:lpstr>
      <vt:lpstr>Data Sheet</vt:lpstr>
      <vt:lpstr>DATA</vt:lpstr>
      <vt:lpstr>RAW-FS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Abdul rahman</cp:lastModifiedBy>
  <cp:lastPrinted>2026-02-16T06:19:13Z</cp:lastPrinted>
  <dcterms:created xsi:type="dcterms:W3CDTF">2012-08-17T09:55:37Z</dcterms:created>
  <dcterms:modified xsi:type="dcterms:W3CDTF">2026-03-11T09:29:12Z</dcterms:modified>
</cp:coreProperties>
</file>